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64b4e56949f4ffc/Área de Trabalho/"/>
    </mc:Choice>
  </mc:AlternateContent>
  <xr:revisionPtr revIDLastSave="2" documentId="8_{FD6B3846-F621-43E8-8923-07E0BC73A506}" xr6:coauthVersionLast="47" xr6:coauthVersionMax="47" xr10:uidLastSave="{81DBF883-B338-4EDF-BF67-2B70F54493DA}"/>
  <bookViews>
    <workbookView xWindow="-120" yWindow="-120" windowWidth="29040" windowHeight="16440" tabRatio="0" xr2:uid="{6D8CA863-A109-40F0-8DE4-EF1ABD79EAD0}"/>
  </bookViews>
  <sheets>
    <sheet name="Planilha1" sheetId="1" r:id="rId1"/>
    <sheet name="Planilha2" sheetId="2" r:id="rId2"/>
  </sheets>
  <definedNames>
    <definedName name="Aporte">Planilha1!$D$17</definedName>
    <definedName name="Patrimonio_acumulado">Planilha1!$D$20</definedName>
    <definedName name="Qtd_Anos">Planilha1!$D$18</definedName>
    <definedName name="Rendimento_Carteira">Planilha1!$D$13</definedName>
    <definedName name="Salario">Planilha1!$D$12</definedName>
    <definedName name="Sugestao_invest">Planilha1!$D$14</definedName>
    <definedName name="Taxa_mensal">Planilha1!$D$19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6" i="1" l="1"/>
  <c r="C37" i="1"/>
  <c r="C38" i="1"/>
  <c r="C39" i="1"/>
  <c r="C40" i="1"/>
  <c r="D40" i="1" s="1"/>
  <c r="C35" i="1"/>
  <c r="H4" i="2"/>
  <c r="A10" i="2"/>
  <c r="A11" i="2"/>
  <c r="A12" i="2"/>
  <c r="A13" i="2"/>
  <c r="A14" i="2"/>
  <c r="A15" i="2"/>
  <c r="A16" i="2"/>
  <c r="A17" i="2"/>
  <c r="A18" i="2"/>
  <c r="A19" i="2"/>
  <c r="A20" i="2"/>
  <c r="A21" i="2"/>
  <c r="A5" i="2"/>
  <c r="A6" i="2"/>
  <c r="A7" i="2"/>
  <c r="A8" i="2"/>
  <c r="A9" i="2"/>
  <c r="A4" i="2"/>
  <c r="C32" i="1"/>
  <c r="C25" i="1"/>
  <c r="D25" i="1" s="1"/>
  <c r="C26" i="1"/>
  <c r="D26" i="1" s="1"/>
  <c r="C27" i="1"/>
  <c r="D27" i="1" s="1"/>
  <c r="C28" i="1"/>
  <c r="D28" i="1" s="1"/>
  <c r="C24" i="1"/>
  <c r="D24" i="1" s="1"/>
  <c r="D20" i="1"/>
  <c r="D21" i="1" s="1"/>
  <c r="D14" i="1"/>
  <c r="D38" i="1" l="1"/>
  <c r="D37" i="1"/>
  <c r="D36" i="1"/>
  <c r="D39" i="1"/>
  <c r="D35" i="1"/>
  <c r="D41" i="1" s="1"/>
</calcChain>
</file>

<file path=xl/sharedStrings.xml><?xml version="1.0" encoding="utf-8"?>
<sst xmlns="http://schemas.openxmlformats.org/spreadsheetml/2006/main" count="70" uniqueCount="34">
  <si>
    <t>Taxa de rendimento mensal?</t>
  </si>
  <si>
    <t xml:space="preserve">Dividendos mensais? </t>
  </si>
  <si>
    <t>por quantos anos investir?</t>
  </si>
  <si>
    <t>Investimento Mensal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</si>
  <si>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</si>
  <si>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</si>
  <si>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</si>
  <si>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</si>
  <si>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</si>
  <si>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</si>
  <si>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Patrimônio acumulado?</t>
  </si>
  <si>
    <t>Quanto investir por mês?</t>
  </si>
  <si>
    <t>Dividendo</t>
  </si>
  <si>
    <t>Salário</t>
  </si>
  <si>
    <t>Rendimento da carteira</t>
  </si>
  <si>
    <t>Sugestão de investimento</t>
  </si>
  <si>
    <t>CONFIGURAÇÕES</t>
  </si>
  <si>
    <t>AGRESSIVO</t>
  </si>
  <si>
    <t>CONSERVADOR</t>
  </si>
  <si>
    <t>MODERADO</t>
  </si>
  <si>
    <t>PERFIL</t>
  </si>
  <si>
    <t>VALOR A SER INVESTIDO POR MÊS</t>
  </si>
  <si>
    <t>TIPO DE FII</t>
  </si>
  <si>
    <t>Percentual sugerido</t>
  </si>
  <si>
    <t>valores</t>
  </si>
  <si>
    <t>PAPEL</t>
  </si>
  <si>
    <t>TIJOLO</t>
  </si>
  <si>
    <t>HIBRIDOS</t>
  </si>
  <si>
    <t>FOFs</t>
  </si>
  <si>
    <t>DESENVOLVIMENTO</t>
  </si>
  <si>
    <t>HOTELARIA</t>
  </si>
  <si>
    <t>%</t>
  </si>
  <si>
    <t>Chave</t>
  </si>
  <si>
    <t>MODERADO-TIJOLO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</si>
</sst>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6" formatCode="&quot;R$&quot;\ 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Segoe UI"/>
      <family val="2"/>
    </font>
    <font>
      <b/>
      <sz val="12"/>
      <color theme="0"/>
      <name val="Segoe UI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14996795556505021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/>
      <bottom style="thin">
        <color theme="0" tint="-0.499984740745262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5" fillId="4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left" indent="3"/>
    </xf>
    <xf numFmtId="0" fontId="7" fillId="5" borderId="6" xfId="0" applyFont="1" applyFill="1" applyBorder="1" applyAlignment="1">
      <alignment horizontal="left" indent="3"/>
    </xf>
    <xf numFmtId="166" fontId="8" fillId="0" borderId="7" xfId="1" applyNumberFormat="1" applyFont="1" applyBorder="1" applyAlignment="1">
      <alignment horizontal="center"/>
    </xf>
    <xf numFmtId="0" fontId="7" fillId="5" borderId="8" xfId="0" applyFont="1" applyFill="1" applyBorder="1" applyAlignment="1">
      <alignment horizontal="left" indent="3"/>
    </xf>
    <xf numFmtId="0" fontId="7" fillId="5" borderId="9" xfId="0" applyFont="1" applyFill="1" applyBorder="1" applyAlignment="1">
      <alignment horizontal="left" indent="3"/>
    </xf>
    <xf numFmtId="10" fontId="8" fillId="0" borderId="10" xfId="0" applyNumberFormat="1" applyFont="1" applyBorder="1" applyAlignment="1">
      <alignment horizontal="center"/>
    </xf>
    <xf numFmtId="0" fontId="7" fillId="5" borderId="11" xfId="0" applyFont="1" applyFill="1" applyBorder="1" applyAlignment="1">
      <alignment horizontal="left" indent="3"/>
    </xf>
    <xf numFmtId="0" fontId="7" fillId="5" borderId="12" xfId="0" applyFont="1" applyFill="1" applyBorder="1" applyAlignment="1">
      <alignment horizontal="left" indent="3"/>
    </xf>
    <xf numFmtId="0" fontId="5" fillId="3" borderId="2" xfId="0" applyFont="1" applyFill="1" applyBorder="1" applyAlignment="1">
      <alignment vertical="center"/>
    </xf>
    <xf numFmtId="0" fontId="5" fillId="3" borderId="3" xfId="0" applyFont="1" applyFill="1" applyBorder="1" applyAlignment="1">
      <alignment vertical="center"/>
    </xf>
    <xf numFmtId="0" fontId="7" fillId="0" borderId="5" xfId="0" applyFont="1" applyBorder="1" applyAlignment="1">
      <alignment horizontal="left" indent="3"/>
    </xf>
    <xf numFmtId="0" fontId="7" fillId="0" borderId="6" xfId="0" applyFont="1" applyBorder="1" applyAlignment="1">
      <alignment horizontal="left" indent="3"/>
    </xf>
    <xf numFmtId="166" fontId="9" fillId="0" borderId="14" xfId="1" applyNumberFormat="1" applyFont="1" applyBorder="1" applyAlignment="1">
      <alignment horizontal="center"/>
    </xf>
    <xf numFmtId="0" fontId="7" fillId="0" borderId="8" xfId="0" applyFont="1" applyBorder="1" applyAlignment="1">
      <alignment horizontal="left" indent="3"/>
    </xf>
    <xf numFmtId="0" fontId="7" fillId="0" borderId="9" xfId="0" applyFont="1" applyBorder="1" applyAlignment="1">
      <alignment horizontal="left" indent="3"/>
    </xf>
    <xf numFmtId="0" fontId="9" fillId="0" borderId="10" xfId="0" applyFont="1" applyBorder="1" applyAlignment="1">
      <alignment horizontal="center"/>
    </xf>
    <xf numFmtId="10" fontId="9" fillId="0" borderId="10" xfId="0" applyNumberFormat="1" applyFont="1" applyBorder="1" applyAlignment="1">
      <alignment horizontal="center"/>
    </xf>
    <xf numFmtId="0" fontId="10" fillId="5" borderId="8" xfId="0" applyFont="1" applyFill="1" applyBorder="1" applyAlignment="1">
      <alignment horizontal="left" indent="3"/>
    </xf>
    <xf numFmtId="0" fontId="10" fillId="5" borderId="9" xfId="0" applyFont="1" applyFill="1" applyBorder="1" applyAlignment="1">
      <alignment horizontal="left" indent="3"/>
    </xf>
    <xf numFmtId="8" fontId="9" fillId="5" borderId="10" xfId="0" applyNumberFormat="1" applyFont="1" applyFill="1" applyBorder="1" applyAlignment="1">
      <alignment horizontal="center"/>
    </xf>
    <xf numFmtId="0" fontId="10" fillId="5" borderId="11" xfId="0" applyFont="1" applyFill="1" applyBorder="1" applyAlignment="1">
      <alignment horizontal="left" indent="3"/>
    </xf>
    <xf numFmtId="0" fontId="10" fillId="5" borderId="12" xfId="0" applyFont="1" applyFill="1" applyBorder="1" applyAlignment="1">
      <alignment horizontal="left" indent="3"/>
    </xf>
    <xf numFmtId="8" fontId="9" fillId="5" borderId="13" xfId="0" applyNumberFormat="1" applyFont="1" applyFill="1" applyBorder="1" applyAlignment="1">
      <alignment horizontal="center"/>
    </xf>
    <xf numFmtId="0" fontId="7" fillId="5" borderId="5" xfId="0" applyFont="1" applyFill="1" applyBorder="1" applyAlignment="1">
      <alignment horizontal="left" indent="3"/>
    </xf>
    <xf numFmtId="8" fontId="8" fillId="5" borderId="6" xfId="0" applyNumberFormat="1" applyFont="1" applyFill="1" applyBorder="1" applyAlignment="1">
      <alignment horizontal="center"/>
    </xf>
    <xf numFmtId="8" fontId="8" fillId="5" borderId="14" xfId="0" applyNumberFormat="1" applyFont="1" applyFill="1" applyBorder="1" applyAlignment="1">
      <alignment horizontal="center"/>
    </xf>
    <xf numFmtId="0" fontId="7" fillId="5" borderId="8" xfId="0" applyFont="1" applyFill="1" applyBorder="1" applyAlignment="1">
      <alignment horizontal="left" indent="3"/>
    </xf>
    <xf numFmtId="8" fontId="8" fillId="5" borderId="9" xfId="0" applyNumberFormat="1" applyFont="1" applyFill="1" applyBorder="1" applyAlignment="1">
      <alignment horizontal="center"/>
    </xf>
    <xf numFmtId="8" fontId="8" fillId="5" borderId="10" xfId="0" applyNumberFormat="1" applyFont="1" applyFill="1" applyBorder="1" applyAlignment="1">
      <alignment horizontal="center"/>
    </xf>
    <xf numFmtId="0" fontId="7" fillId="5" borderId="11" xfId="0" applyFont="1" applyFill="1" applyBorder="1" applyAlignment="1">
      <alignment horizontal="left" indent="3"/>
    </xf>
    <xf numFmtId="8" fontId="8" fillId="5" borderId="12" xfId="0" applyNumberFormat="1" applyFont="1" applyFill="1" applyBorder="1" applyAlignment="1">
      <alignment horizontal="center"/>
    </xf>
    <xf numFmtId="8" fontId="8" fillId="5" borderId="13" xfId="0" applyNumberFormat="1" applyFont="1" applyFill="1" applyBorder="1" applyAlignment="1">
      <alignment horizontal="center"/>
    </xf>
    <xf numFmtId="166" fontId="8" fillId="5" borderId="13" xfId="0" applyNumberFormat="1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2" fillId="2" borderId="0" xfId="3"/>
    <xf numFmtId="0" fontId="0" fillId="5" borderId="0" xfId="0" applyFill="1"/>
    <xf numFmtId="166" fontId="0" fillId="5" borderId="0" xfId="0" applyNumberFormat="1" applyFill="1" applyAlignment="1">
      <alignment horizontal="center"/>
    </xf>
    <xf numFmtId="0" fontId="3" fillId="5" borderId="0" xfId="0" applyFont="1" applyFill="1" applyAlignment="1">
      <alignment horizontal="left"/>
    </xf>
    <xf numFmtId="166" fontId="3" fillId="5" borderId="0" xfId="0" applyNumberFormat="1" applyFont="1" applyFill="1" applyAlignment="1">
      <alignment horizontal="center"/>
    </xf>
    <xf numFmtId="0" fontId="2" fillId="2" borderId="0" xfId="3" applyAlignment="1">
      <alignment horizontal="center"/>
    </xf>
    <xf numFmtId="0" fontId="2" fillId="2" borderId="0" xfId="3" applyBorder="1" applyAlignment="1">
      <alignment horizontal="left"/>
    </xf>
    <xf numFmtId="9" fontId="0" fillId="0" borderId="0" xfId="0" applyNumberFormat="1" applyAlignment="1">
      <alignment horizontal="center"/>
    </xf>
    <xf numFmtId="0" fontId="3" fillId="6" borderId="0" xfId="0" applyFont="1" applyFill="1" applyAlignment="1">
      <alignment horizontal="center"/>
    </xf>
    <xf numFmtId="0" fontId="0" fillId="6" borderId="0" xfId="0" applyFill="1"/>
    <xf numFmtId="0" fontId="0" fillId="0" borderId="4" xfId="0" applyBorder="1"/>
    <xf numFmtId="0" fontId="0" fillId="0" borderId="4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9" fontId="2" fillId="2" borderId="0" xfId="2" applyFont="1" applyFill="1"/>
    <xf numFmtId="166" fontId="0" fillId="6" borderId="0" xfId="0" applyNumberFormat="1" applyFill="1" applyAlignment="1">
      <alignment horizont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38099</xdr:colOff>
      <xdr:row>0</xdr:row>
      <xdr:rowOff>152400</xdr:rowOff>
    </xdr:from>
    <xdr:to>
      <xdr:col>4</xdr:col>
      <xdr:colOff>38100</xdr:colOff>
      <xdr:row>9</xdr:row>
      <xdr:rowOff>64807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36599B6-3713-4659-8163-A34C602972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606"/>
        <a:stretch/>
      </xdr:blipFill>
      <xdr:spPr>
        <a:xfrm>
          <a:off x="238124" y="152400"/>
          <a:ext cx="8067676" cy="16269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A0A08-77EE-44B5-9853-8B3A6E59506D}">
  <dimension ref="A1:XFD42"/>
  <sheetViews>
    <sheetView showGridLines="0" showRowColHeaders="0" tabSelected="1" workbookViewId="0">
      <selection activeCell="A43" sqref="A43:XFD1048576"/>
    </sheetView>
  </sheetViews>
  <sheetFormatPr defaultColWidth="0" defaultRowHeight="15" zeroHeight="1" x14ac:dyDescent="0.25"/>
  <cols>
    <col min="1" max="1" width="3" bestFit="1" customWidth="1"/>
    <col min="2" max="2" width="62.28515625" customWidth="1"/>
    <col min="3" max="3" width="40.140625" bestFit="1" customWidth="1"/>
    <col min="4" max="4" width="18.5703125" customWidth="1"/>
    <col min="5" max="8" width="4.28515625" customWidth="1"/>
    <col min="9" max="13" width="9.140625" hidden="1" customWidth="1"/>
    <col min="14" max="16383" width="9.140625" hidden="1"/>
    <col min="16384" max="16384" width="2" hidden="1" customWidth="1"/>
  </cols>
  <sheetData>
    <row r="1" spans="2:4" x14ac:dyDescent="0.25"/>
    <row r="2" spans="2:4" x14ac:dyDescent="0.25"/>
    <row r="3" spans="2:4" x14ac:dyDescent="0.25"/>
    <row r="4" spans="2:4" x14ac:dyDescent="0.25"/>
    <row r="5" spans="2:4" x14ac:dyDescent="0.25"/>
    <row r="6" spans="2:4" x14ac:dyDescent="0.25"/>
    <row r="7" spans="2:4" x14ac:dyDescent="0.25"/>
    <row r="8" spans="2:4" x14ac:dyDescent="0.25"/>
    <row r="9" spans="2:4" x14ac:dyDescent="0.25"/>
    <row r="10" spans="2:4" ht="15.75" thickBot="1" x14ac:dyDescent="0.3"/>
    <row r="11" spans="2:4" ht="30.75" x14ac:dyDescent="0.25">
      <c r="B11" s="3" t="s">
        <v>16</v>
      </c>
      <c r="C11" s="41"/>
      <c r="D11" s="42"/>
    </row>
    <row r="12" spans="2:4" ht="17.25" x14ac:dyDescent="0.3">
      <c r="B12" s="8" t="s">
        <v>13</v>
      </c>
      <c r="C12" s="9"/>
      <c r="D12" s="10">
        <v>3000</v>
      </c>
    </row>
    <row r="13" spans="2:4" ht="17.25" x14ac:dyDescent="0.3">
      <c r="B13" s="11" t="s">
        <v>14</v>
      </c>
      <c r="C13" s="12"/>
      <c r="D13" s="13">
        <v>6.0000000000000001E-3</v>
      </c>
    </row>
    <row r="14" spans="2:4" ht="18" thickBot="1" x14ac:dyDescent="0.35">
      <c r="B14" s="14" t="s">
        <v>15</v>
      </c>
      <c r="C14" s="15"/>
      <c r="D14" s="40">
        <f>D12*30%</f>
        <v>900</v>
      </c>
    </row>
    <row r="15" spans="2:4" ht="15.75" thickBot="1" x14ac:dyDescent="0.3"/>
    <row r="16" spans="2:4" ht="41.25" customHeight="1" x14ac:dyDescent="0.25">
      <c r="B16" s="4" t="s">
        <v>3</v>
      </c>
      <c r="C16" s="16"/>
      <c r="D16" s="17"/>
    </row>
    <row r="17" spans="1:4" ht="15" customHeight="1" x14ac:dyDescent="0.3">
      <c r="B17" s="18" t="s">
        <v>11</v>
      </c>
      <c r="C17" s="19"/>
      <c r="D17" s="20">
        <v>900</v>
      </c>
    </row>
    <row r="18" spans="1:4" ht="15" customHeight="1" x14ac:dyDescent="0.3">
      <c r="B18" s="21" t="s">
        <v>2</v>
      </c>
      <c r="C18" s="22"/>
      <c r="D18" s="23">
        <v>3</v>
      </c>
    </row>
    <row r="19" spans="1:4" ht="15" customHeight="1" x14ac:dyDescent="0.3">
      <c r="B19" s="21" t="s">
        <v>0</v>
      </c>
      <c r="C19" s="22"/>
      <c r="D19" s="24">
        <v>1.0789999999999999E-2</v>
      </c>
    </row>
    <row r="20" spans="1:4" ht="15" customHeight="1" x14ac:dyDescent="0.3">
      <c r="B20" s="25" t="s">
        <v>10</v>
      </c>
      <c r="C20" s="26"/>
      <c r="D20" s="27">
        <f>FV(Taxa_mensal,Qtd_Anos*12,Aporte*-1)</f>
        <v>39337.536620719897</v>
      </c>
    </row>
    <row r="21" spans="1:4" ht="15.75" customHeight="1" thickBot="1" x14ac:dyDescent="0.35">
      <c r="B21" s="28" t="s">
        <v>1</v>
      </c>
      <c r="C21" s="29"/>
      <c r="D21" s="30">
        <f>Patrimonio_acumulado*Rendimento_Carteira</f>
        <v>236.02521972431938</v>
      </c>
    </row>
    <row r="22" spans="1:4" ht="15.75" thickBot="1" x14ac:dyDescent="0.3"/>
    <row r="23" spans="1:4" ht="30.75" x14ac:dyDescent="0.25">
      <c r="B23" s="5" t="s">
        <v>9</v>
      </c>
      <c r="C23" s="6"/>
      <c r="D23" s="7" t="s">
        <v>12</v>
      </c>
    </row>
    <row r="24" spans="1:4" ht="17.25" x14ac:dyDescent="0.3">
      <c r="A24" s="2">
        <v>2</v>
      </c>
      <c r="B24" s="31" t="s">
        <v>4</v>
      </c>
      <c r="C24" s="32">
        <f>FV(Taxa_mensal,$A24*12,Aporte*-1)</f>
        <v>24504.864567880697</v>
      </c>
      <c r="D24" s="33">
        <f>C24*Rendimento_Carteira</f>
        <v>147.02918740728418</v>
      </c>
    </row>
    <row r="25" spans="1:4" ht="17.25" x14ac:dyDescent="0.3">
      <c r="A25" s="2">
        <v>5</v>
      </c>
      <c r="B25" s="34" t="s">
        <v>5</v>
      </c>
      <c r="C25" s="35">
        <f>FV(Taxa_mensal,$A25*12,Aporte*-1)</f>
        <v>75399.22259863888</v>
      </c>
      <c r="D25" s="36">
        <f>C25*Rendimento_Carteira</f>
        <v>452.39533559183332</v>
      </c>
    </row>
    <row r="26" spans="1:4" ht="17.25" x14ac:dyDescent="0.3">
      <c r="A26" s="2">
        <v>10</v>
      </c>
      <c r="B26" s="34" t="s">
        <v>6</v>
      </c>
      <c r="C26" s="35">
        <f>FV(Taxa_mensal,$A26*12,Aporte*-1)</f>
        <v>218955.79127715499</v>
      </c>
      <c r="D26" s="36">
        <f>C26*Rendimento_Carteira</f>
        <v>1313.73474766293</v>
      </c>
    </row>
    <row r="27" spans="1:4" ht="17.25" x14ac:dyDescent="0.3">
      <c r="A27" s="2">
        <v>20</v>
      </c>
      <c r="B27" s="34" t="s">
        <v>7</v>
      </c>
      <c r="C27" s="35">
        <f>FV(Taxa_mensal,$A27*12,Aporte*-1)</f>
        <v>1012678.5600873725</v>
      </c>
      <c r="D27" s="36">
        <f>C27*Rendimento_Carteira</f>
        <v>6076.0713605242354</v>
      </c>
    </row>
    <row r="28" spans="1:4" ht="18" thickBot="1" x14ac:dyDescent="0.35">
      <c r="A28" s="2">
        <v>30</v>
      </c>
      <c r="B28" s="37" t="s">
        <v>8</v>
      </c>
      <c r="C28" s="38">
        <f>FV(Taxa_mensal,$A28*12,Aporte*-1)</f>
        <v>3889952.689504243</v>
      </c>
      <c r="D28" s="39">
        <f>C28*Rendimento_Carteira</f>
        <v>23339.716137025458</v>
      </c>
    </row>
    <row r="29" spans="1:4" x14ac:dyDescent="0.25"/>
    <row r="30" spans="1:4" x14ac:dyDescent="0.25"/>
    <row r="31" spans="1:4" x14ac:dyDescent="0.25">
      <c r="B31" s="49" t="s">
        <v>20</v>
      </c>
      <c r="C31" s="48" t="s">
        <v>18</v>
      </c>
      <c r="D31" s="43"/>
    </row>
    <row r="32" spans="1:4" x14ac:dyDescent="0.25">
      <c r="B32" s="46" t="s">
        <v>21</v>
      </c>
      <c r="C32" s="47">
        <f>Aporte</f>
        <v>900</v>
      </c>
      <c r="D32" s="44"/>
    </row>
    <row r="33" spans="2:4" x14ac:dyDescent="0.25"/>
    <row r="34" spans="2:4" x14ac:dyDescent="0.25">
      <c r="B34" s="51" t="s">
        <v>22</v>
      </c>
      <c r="C34" s="51" t="s">
        <v>23</v>
      </c>
      <c r="D34" s="51" t="s">
        <v>24</v>
      </c>
    </row>
    <row r="35" spans="2:4" x14ac:dyDescent="0.25">
      <c r="B35" s="1" t="s">
        <v>25</v>
      </c>
      <c r="C35" s="50">
        <f>VLOOKUP($C$31&amp;"-"&amp;B35,Planilha2!$A:$D,4,FALSE)</f>
        <v>0.3</v>
      </c>
      <c r="D35" s="45">
        <f>C35*$C$32</f>
        <v>270</v>
      </c>
    </row>
    <row r="36" spans="2:4" x14ac:dyDescent="0.25">
      <c r="B36" s="1" t="s">
        <v>26</v>
      </c>
      <c r="C36" s="50">
        <f>VLOOKUP($C$31&amp;"-"&amp;B36,Planilha2!$A:$D,4,FALSE)</f>
        <v>0.5</v>
      </c>
      <c r="D36" s="45">
        <f t="shared" ref="D36:D40" si="0">C36*$C$32</f>
        <v>450</v>
      </c>
    </row>
    <row r="37" spans="2:4" x14ac:dyDescent="0.25">
      <c r="B37" s="1" t="s">
        <v>27</v>
      </c>
      <c r="C37" s="50">
        <f>VLOOKUP($C$31&amp;"-"&amp;B37,Planilha2!$A:$D,4,FALSE)</f>
        <v>0.1</v>
      </c>
      <c r="D37" s="45">
        <f t="shared" si="0"/>
        <v>90</v>
      </c>
    </row>
    <row r="38" spans="2:4" x14ac:dyDescent="0.25">
      <c r="B38" s="1" t="s">
        <v>28</v>
      </c>
      <c r="C38" s="50">
        <f>VLOOKUP($C$31&amp;"-"&amp;B38,Planilha2!$A:$D,4,FALSE)</f>
        <v>0.1</v>
      </c>
      <c r="D38" s="45">
        <f t="shared" si="0"/>
        <v>90</v>
      </c>
    </row>
    <row r="39" spans="2:4" x14ac:dyDescent="0.25">
      <c r="B39" s="1" t="s">
        <v>29</v>
      </c>
      <c r="C39" s="50">
        <f>VLOOKUP($C$31&amp;"-"&amp;B39,Planilha2!$A:$D,4,FALSE)</f>
        <v>0</v>
      </c>
      <c r="D39" s="45">
        <f t="shared" si="0"/>
        <v>0</v>
      </c>
    </row>
    <row r="40" spans="2:4" x14ac:dyDescent="0.25">
      <c r="B40" s="1" t="s">
        <v>30</v>
      </c>
      <c r="C40" s="50">
        <f>VLOOKUP($C$31&amp;"-"&amp;B40,Planilha2!$A:$D,4,FALSE)</f>
        <v>0</v>
      </c>
      <c r="D40" s="45">
        <f t="shared" si="0"/>
        <v>0</v>
      </c>
    </row>
    <row r="41" spans="2:4" x14ac:dyDescent="0.25">
      <c r="B41" s="52"/>
      <c r="C41" s="52"/>
      <c r="D41" s="57">
        <f>SUM(D35:D40)</f>
        <v>900</v>
      </c>
    </row>
    <row r="42" spans="2:4" x14ac:dyDescent="0.25"/>
  </sheetData>
  <mergeCells count="10">
    <mergeCell ref="B21:C21"/>
    <mergeCell ref="B12:C12"/>
    <mergeCell ref="B13:C13"/>
    <mergeCell ref="B14:C14"/>
    <mergeCell ref="C11:D11"/>
    <mergeCell ref="B23:C23"/>
    <mergeCell ref="B17:C17"/>
    <mergeCell ref="B18:C18"/>
    <mergeCell ref="B19:C19"/>
    <mergeCell ref="B20:C20"/>
  </mergeCells>
  <dataValidations count="1">
    <dataValidation type="list" allowBlank="1" showInputMessage="1" showErrorMessage="1" sqref="C31" xr:uid="{1270F359-A8C9-4D15-8740-6C357FFCAA55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35B3F-CF33-4B58-A694-5326F55C6DC9}">
  <dimension ref="A3:H22"/>
  <sheetViews>
    <sheetView workbookViewId="0">
      <selection activeCell="E13" sqref="E13"/>
    </sheetView>
  </sheetViews>
  <sheetFormatPr defaultRowHeight="15" x14ac:dyDescent="0.25"/>
  <cols>
    <col min="1" max="1" width="33.85546875" bestFit="1" customWidth="1"/>
    <col min="2" max="2" width="14.7109375" bestFit="1" customWidth="1"/>
    <col min="3" max="3" width="19" bestFit="1" customWidth="1"/>
    <col min="7" max="7" width="24.7109375" customWidth="1"/>
  </cols>
  <sheetData>
    <row r="3" spans="1:8" x14ac:dyDescent="0.25">
      <c r="A3" t="s">
        <v>32</v>
      </c>
      <c r="B3" s="1" t="s">
        <v>20</v>
      </c>
      <c r="C3" s="51" t="s">
        <v>22</v>
      </c>
      <c r="D3" s="1" t="s">
        <v>31</v>
      </c>
    </row>
    <row r="4" spans="1:8" x14ac:dyDescent="0.25">
      <c r="A4" t="str">
        <f>B4&amp;"-"&amp;C4</f>
        <v>CONSERVADOR-PAPEL</v>
      </c>
      <c r="B4" t="s">
        <v>18</v>
      </c>
      <c r="C4" s="1" t="s">
        <v>25</v>
      </c>
      <c r="D4" s="50">
        <v>0.3</v>
      </c>
      <c r="G4" s="43" t="s">
        <v>33</v>
      </c>
      <c r="H4" s="56">
        <f>VLOOKUP(A11,$A:$D,4,FALSE)</f>
        <v>0.35</v>
      </c>
    </row>
    <row r="5" spans="1:8" x14ac:dyDescent="0.25">
      <c r="A5" t="str">
        <f t="shared" ref="A5:A21" si="0">B5&amp;"-"&amp;C5</f>
        <v>CONSERVADOR-TIJOLO</v>
      </c>
      <c r="B5" t="s">
        <v>18</v>
      </c>
      <c r="C5" s="1" t="s">
        <v>26</v>
      </c>
      <c r="D5" s="50">
        <v>0.5</v>
      </c>
    </row>
    <row r="6" spans="1:8" x14ac:dyDescent="0.25">
      <c r="A6" t="str">
        <f t="shared" si="0"/>
        <v>CONSERVADOR-HIBRIDOS</v>
      </c>
      <c r="B6" t="s">
        <v>18</v>
      </c>
      <c r="C6" s="1" t="s">
        <v>27</v>
      </c>
      <c r="D6" s="50">
        <v>0.1</v>
      </c>
    </row>
    <row r="7" spans="1:8" x14ac:dyDescent="0.25">
      <c r="A7" t="str">
        <f t="shared" si="0"/>
        <v>CONSERVADOR-FOFs</v>
      </c>
      <c r="B7" t="s">
        <v>18</v>
      </c>
      <c r="C7" s="1" t="s">
        <v>28</v>
      </c>
      <c r="D7" s="50">
        <v>0.1</v>
      </c>
    </row>
    <row r="8" spans="1:8" x14ac:dyDescent="0.25">
      <c r="A8" t="str">
        <f t="shared" si="0"/>
        <v>CONSERVADOR-DESENVOLVIMENTO</v>
      </c>
      <c r="B8" t="s">
        <v>18</v>
      </c>
      <c r="C8" s="1" t="s">
        <v>29</v>
      </c>
      <c r="D8" s="50">
        <v>0</v>
      </c>
    </row>
    <row r="9" spans="1:8" ht="15.75" thickBot="1" x14ac:dyDescent="0.3">
      <c r="A9" s="53" t="str">
        <f t="shared" si="0"/>
        <v>CONSERVADOR-HOTELARIA</v>
      </c>
      <c r="B9" s="53" t="s">
        <v>18</v>
      </c>
      <c r="C9" s="54" t="s">
        <v>30</v>
      </c>
      <c r="D9" s="55">
        <v>0</v>
      </c>
    </row>
    <row r="10" spans="1:8" x14ac:dyDescent="0.25">
      <c r="A10" t="str">
        <f t="shared" si="0"/>
        <v>MODERADO-PAPEL</v>
      </c>
      <c r="B10" t="s">
        <v>19</v>
      </c>
      <c r="C10" s="1" t="s">
        <v>25</v>
      </c>
      <c r="D10" s="50">
        <v>0.32</v>
      </c>
    </row>
    <row r="11" spans="1:8" x14ac:dyDescent="0.25">
      <c r="A11" t="str">
        <f t="shared" si="0"/>
        <v>MODERADO-TIJOLO</v>
      </c>
      <c r="B11" t="s">
        <v>19</v>
      </c>
      <c r="C11" s="1" t="s">
        <v>26</v>
      </c>
      <c r="D11" s="50">
        <v>0.35</v>
      </c>
    </row>
    <row r="12" spans="1:8" x14ac:dyDescent="0.25">
      <c r="A12" t="str">
        <f t="shared" si="0"/>
        <v>MODERADO-HIBRIDOS</v>
      </c>
      <c r="B12" t="s">
        <v>19</v>
      </c>
      <c r="C12" s="1" t="s">
        <v>27</v>
      </c>
      <c r="D12" s="50">
        <v>0.08</v>
      </c>
    </row>
    <row r="13" spans="1:8" x14ac:dyDescent="0.25">
      <c r="A13" t="str">
        <f t="shared" si="0"/>
        <v>MODERADO-FOFs</v>
      </c>
      <c r="B13" t="s">
        <v>19</v>
      </c>
      <c r="C13" s="1" t="s">
        <v>28</v>
      </c>
      <c r="D13" s="50">
        <v>0.05</v>
      </c>
    </row>
    <row r="14" spans="1:8" x14ac:dyDescent="0.25">
      <c r="A14" t="str">
        <f t="shared" si="0"/>
        <v>MODERADO-DESENVOLVIMENTO</v>
      </c>
      <c r="B14" t="s">
        <v>19</v>
      </c>
      <c r="C14" s="1" t="s">
        <v>29</v>
      </c>
      <c r="D14" s="50">
        <v>0.1</v>
      </c>
    </row>
    <row r="15" spans="1:8" ht="15.75" thickBot="1" x14ac:dyDescent="0.3">
      <c r="A15" s="53" t="str">
        <f t="shared" si="0"/>
        <v>MODERADO-HOTELARIA</v>
      </c>
      <c r="B15" s="53" t="s">
        <v>19</v>
      </c>
      <c r="C15" s="54" t="s">
        <v>30</v>
      </c>
      <c r="D15" s="55">
        <v>0.1</v>
      </c>
    </row>
    <row r="16" spans="1:8" x14ac:dyDescent="0.25">
      <c r="A16" t="str">
        <f t="shared" si="0"/>
        <v>AGRESSIVO-PAPEL</v>
      </c>
      <c r="B16" t="s">
        <v>17</v>
      </c>
      <c r="C16" s="1" t="s">
        <v>25</v>
      </c>
      <c r="D16" s="50">
        <v>0.5</v>
      </c>
    </row>
    <row r="17" spans="1:4" x14ac:dyDescent="0.25">
      <c r="A17" t="str">
        <f t="shared" si="0"/>
        <v>AGRESSIVO-TIJOLO</v>
      </c>
      <c r="B17" t="s">
        <v>17</v>
      </c>
      <c r="C17" s="1" t="s">
        <v>26</v>
      </c>
      <c r="D17" s="50">
        <v>0.1</v>
      </c>
    </row>
    <row r="18" spans="1:4" x14ac:dyDescent="0.25">
      <c r="A18" t="str">
        <f t="shared" si="0"/>
        <v>AGRESSIVO-HIBRIDOS</v>
      </c>
      <c r="B18" t="s">
        <v>17</v>
      </c>
      <c r="C18" s="1" t="s">
        <v>27</v>
      </c>
      <c r="D18" s="50">
        <v>0.05</v>
      </c>
    </row>
    <row r="19" spans="1:4" x14ac:dyDescent="0.25">
      <c r="A19" t="str">
        <f t="shared" si="0"/>
        <v>AGRESSIVO-FOFs</v>
      </c>
      <c r="B19" t="s">
        <v>17</v>
      </c>
      <c r="C19" s="1" t="s">
        <v>28</v>
      </c>
      <c r="D19" s="50">
        <v>0.05</v>
      </c>
    </row>
    <row r="20" spans="1:4" x14ac:dyDescent="0.25">
      <c r="A20" t="str">
        <f t="shared" si="0"/>
        <v>AGRESSIVO-DESENVOLVIMENTO</v>
      </c>
      <c r="B20" t="s">
        <v>17</v>
      </c>
      <c r="C20" s="1" t="s">
        <v>29</v>
      </c>
      <c r="D20" s="50">
        <v>0.2</v>
      </c>
    </row>
    <row r="21" spans="1:4" x14ac:dyDescent="0.25">
      <c r="A21" t="str">
        <f t="shared" si="0"/>
        <v>AGRESSIVO-HOTELARIA</v>
      </c>
      <c r="B21" t="s">
        <v>17</v>
      </c>
      <c r="C21" s="1" t="s">
        <v>30</v>
      </c>
      <c r="D21" s="50">
        <v>0.1</v>
      </c>
    </row>
    <row r="22" spans="1:4" x14ac:dyDescent="0.25">
      <c r="D22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Planilha1</vt:lpstr>
      <vt:lpstr>Planilha2</vt:lpstr>
      <vt:lpstr>Aporte</vt:lpstr>
      <vt:lpstr>Patrimonio_acumulado</vt:lpstr>
      <vt:lpstr>Qtd_Anos</vt:lpstr>
      <vt:lpstr>Rendimento_Carteira</vt:lpstr>
      <vt:lpstr>Salario</vt:lpstr>
      <vt:lpstr>Sugestao_invest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Luz Santos</dc:creator>
  <cp:lastModifiedBy>felipe Luz Santos</cp:lastModifiedBy>
  <dcterms:created xsi:type="dcterms:W3CDTF">2026-09-07T16:09:06Z</dcterms:created>
  <dcterms:modified xsi:type="dcterms:W3CDTF">2026-09-07T18:17:51Z</dcterms:modified>
</cp:coreProperties>
</file>