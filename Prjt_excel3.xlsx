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ownloads NV2\"/>
    </mc:Choice>
  </mc:AlternateContent>
  <xr:revisionPtr revIDLastSave="0" documentId="13_ncr:1_{FFEC06E5-88E3-4314-8434-E80FA6A40843}" xr6:coauthVersionLast="47" xr6:coauthVersionMax="47" xr10:uidLastSave="{00000000-0000-0000-0000-000000000000}"/>
  <bookViews>
    <workbookView xWindow="-120" yWindow="-120" windowWidth="29040" windowHeight="164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ashboard" sheetId="5" r:id="rId4"/>
  </sheets>
  <definedNames>
    <definedName name="SegmentaçãodeDados_Subscription_Type">#N/A</definedName>
  </definedNames>
  <calcPr calcId="181029"/>
  <pivotCaches>
    <pivotCache cacheId="14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1" i="3" l="1"/>
  <c r="D20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<sst xmlns="http://schemas.openxmlformats.org/spreadsheetml/2006/main" count="2021" uniqueCount="323">
  <si>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</si>
  <si>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</si>
  <si>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</si>
  <si>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</si>
  <si>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</si>
  <si>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</si>
  <si>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</si>
  <si>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</si>
  <si>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</si>
  <si>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</si>
  <si>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</si>
  <si>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</si>
  <si>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</si>
  <si>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</si>
  <si>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</si>
  <si>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</si>
  <si>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</si>
  <si>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</si>
  <si>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</si>
  <si>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</si>
  <si>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</si>
  <si>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</si>
  <si>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</si>
  <si>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</si>
  <si>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</si>
  <si>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</si>
  <si>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</si>
  <si>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</si>
  <si>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</si>
  <si>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</si>
  <si>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</si>
  <si>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</si>
  <si>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</si>
  <si>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</si>
  <si>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</si>
  <si>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</si>
  <si>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</si>
  <si>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</si>
  <si>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</si>
  <si>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</si>
  <si>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</si>
  <si>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</si>
  <si>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</si>
  <si>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</si>
  <si>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</si>
  <si>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</si>
  <si>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</si>
  <si>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</si>
  <si>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</si>
  <si>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</si>
  <si>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</si>
  <si>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</si>
  <si>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</si>
  <si>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</si>
  <si>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</si>
  <si>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</si>
  <si>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</si>
  <si>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</si>
  <si>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</si>
  <si>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</si>
  <si>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</si>
  <si>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</si>
  <si>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</si>
  <si>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</si>
  <si>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</si>
  <si>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</si>
  <si>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</si>
  <si>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</si>
  <si>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</si>
  <si>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</si>
  <si>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</si>
  <si>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</si>
  <si>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</si>
  <si>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</si>
  <si>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</si>
  <si>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</si>
  <si>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</si>
  <si>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</si>
  <si>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</si>
  <si>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</si>
  <si>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</si>
  <si>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</si>
  <si>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</si>
  <si>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</si>
  <si>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</si>
  <si>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</si>
  <si>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</si>
  <si>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</si>
  <si>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</si>
  <si>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</si>
  <si>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</si>
  <si>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</si>
  <si>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</si>
  <si>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</si>
  <si>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</si>
  <si>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</si>
  <si>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</si>
  <si>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</si>
  <si>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</si>
  <si>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</si>
  <si>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</si>
  <si>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</si>
  <si>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</si>
  <si>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</si>
  <si>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</si>
  <si>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</si>
  <si>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</si>
  <si>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</si>
  <si>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</si>
  <si>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</si>
  <si>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</si>
  <si>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</si>
  <si>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</si>
  <si>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</si>
  <si>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</si>
  <si>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</si>
  <si>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</si>
  <si>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</si>
  <si>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</si>
  <si>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</si>
  <si>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</si>
  <si>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</si>
  <si>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</si>
  <si>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</si>
  <si>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</si>
  <si>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</si>
  <si>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</si>
  <si>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</si>
  <si>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</si>
  <si>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</si>
  <si>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</si>
  <si>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</si>
  <si>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</si>
  <si>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</si>
  <si>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</si>
  <si>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</si>
  <si>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</si>
  <si>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</si>
  <si>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</si>
  <si>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</si>
  <si>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</si>
  <si>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</si>
  <si>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</si>
  <si>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</si>
  <si>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</si>
  <si>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</si>
  <si>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</si>
  <si>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</si>
  <si>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</si>
  <si>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</si>
  <si>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</si>
  <si>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</si>
  <si>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</si>
  <si>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</si>
  <si>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</si>
  <si>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</si>
  <si>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</si>
  <si>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</si>
  <si>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</si>
  <si>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</si>
  <si>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</si>
  <si>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</si>
  <si>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</si>
  <si>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</si>
  <si>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</si>
  <si>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</si>
  <si>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</si>
  <si>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</si>
  <si>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</si>
  <si>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</si>
  <si>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</si>
  <si>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</si>
  <si>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</si>
  <si>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</si>
  <si>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</si>
  <si>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</si>
  <si>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</si>
  <si>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</si>
  <si>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</si>
  <si>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</si>
  <si>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</si>
  <si>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</si>
  <si>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</si>
  <si>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</si>
  <si>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</si>
  <si>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</si>
  <si>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</si>
  <si>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</si>
  <si>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</si>
  <si>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</si>
  <si>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</si>
  <si>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</si>
  <si>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</si>
  <si>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</si>
  <si>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</si>
  <si>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</si>
  <si>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</si>
  <si>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</si>
  <si>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</si>
  <si>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</si>
  <si>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</si>
  <si>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</si>
  <si>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</si>
  <si>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</si>
  <si>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</si>
  <si>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</si>
  <si>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</si>
  <si>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</si>
  <si>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</si>
  <si>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</si>
  <si>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</si>
  <si>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</si>
  <si>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</si>
  <si>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</si>
  <si>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</si>
  <si>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</si>
  <si>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</si>
  <si>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</si>
  <si>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</si>
  <si>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</si>
  <si>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</si>
  <si>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</si>
  <si>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</si>
  <si>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</si>
  <si>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</si>
  <si>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</si>
  <si>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</si>
  <si>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</si>
  <si>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</si>
  <si>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</si>
  <si>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</si>
  <si>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</si>
  <si>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</si>
  <si>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</si>
  <si>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</si>
  <si>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</si>
  <si>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</si>
  <si>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</si>
  <si>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</si>
  <si>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</si>
  <si>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</si>
  <si>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</si>
  <si>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</si>
  <si>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</si>
  <si>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</si>
  <si>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</si>
  <si>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</si>
  <si>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</si>
  <si>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</si>
  <si>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</si>
  <si>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</si>
  <si>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</si>
  <si>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</si>
  <si>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</si>
  <si>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</si>
  <si>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</si>
  <si>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</si>
  <si>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</si>
  <si>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</si>
  <si>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</si>
  <si>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</si>
  <si>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</si>
  <si>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</si>
  <si>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</si>
  <si>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</si>
  <si>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</si>
  <si>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</si>
  <si>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</si>
  <si>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</si>
  <si>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</si>
  <si>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</si>
  <si>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</si>
  <si>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</si>
  <si>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</si>
  <si>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</si>
  <si>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</si>
  <si>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</si>
  <si>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</si>
  <si>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</si>
  <si>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</si>
  <si>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</si>
  <si>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</si>
  <si>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</si>
  <si>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</si>
  <si>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</si>
  <si>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</si>
  <si>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</si>
  <si>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</si>
  <si>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</si>
  <si>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</si>
  <si>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</si>
  <si>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</si>
  <si>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</si>
  <si>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</si>
  <si>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</si>
  <si>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</si>
  <si>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</si>
  <si>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</si>
  <si>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</si>
  <si>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</si>
  <si>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</si>
  <si>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</si>
  <si>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</si>
  <si>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</si>
  <si>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</si>
  <si>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</si>
  <si>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</si>
  <si>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</si>
  <si>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</si>
  <si>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</si>
  <si>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</si>
  <si>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</si>
  <si>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</si>
  <si>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</si>
  <si>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</si>
  <si>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</si>
  <si>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 xml:space="preserve">Pergunta de negocio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não é por auto renovação</t>
    </r>
  </si>
  <si>
    <r>
      <t>Pergunta de negocio 1 - Qual faturamento</t>
    </r>
    <r>
      <rPr>
        <b/>
        <sz val="11"/>
        <color theme="1"/>
        <rFont val="Aptos Narrow"/>
        <family val="2"/>
        <scheme val="minor"/>
      </rPr>
      <t xml:space="preserve"> total de vendas de planos anuais </t>
    </r>
    <r>
      <rPr>
        <sz val="11"/>
        <color theme="1"/>
        <rFont val="Aptos Narrow"/>
        <family val="2"/>
        <scheme val="minor"/>
      </rPr>
      <t>(contendo todas as assinaturas agregadas)</t>
    </r>
  </si>
  <si>
    <t>XBOX GAMEPASS SUBSCRIPTIONS SALES</t>
  </si>
  <si>
    <t>Pergunta de negocio 3 - total de vendas de assinaturas da EA Play</t>
  </si>
  <si>
    <t>Soma de EA Play Season Pass</t>
  </si>
  <si>
    <t>Pergunta 4 - Total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</si>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</sst>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theme="9" tint="-0.249977111117893"/>
      <name val="Segoe UI"/>
      <family val="2"/>
    </font>
    <font>
      <sz val="11"/>
      <color theme="9" tint="-0.24997711111789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9" tint="-0.2499465926084170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Fill="1"/>
    <xf numFmtId="0" fontId="6" fillId="8" borderId="0" xfId="0" applyFont="1" applyFill="1"/>
    <xf numFmtId="0" fontId="5" fillId="0" borderId="2" xfId="1" applyFont="1" applyFill="1" applyBorder="1"/>
    <xf numFmtId="0" fontId="4" fillId="0" borderId="2" xfId="1" applyFont="1" applyFill="1" applyBorder="1"/>
    <xf numFmtId="0" fontId="0" fillId="0" borderId="0" xfId="0" applyNumberFormat="1"/>
    <xf numFmtId="164" fontId="0" fillId="0" borderId="0" xfId="0" applyNumberFormat="1"/>
    <xf numFmtId="0" fontId="0" fillId="0" borderId="2" xfId="0" applyFill="1" applyBorder="1"/>
  </cellXfs>
  <cellStyles count="3">
    <cellStyle name="Moeda" xfId="2" builtinId="4"/>
    <cellStyle name="Normal" xfId="0" builtinId="0"/>
    <cellStyle name="Título 1" xfId="1" builtinId="16"/>
  </cellStyles>
  <dxfs count="80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sz val="10"/>
        <color theme="0"/>
        <name val="Segoe UI"/>
        <family val="2"/>
      </font>
      <border>
        <bottom style="thin">
          <color theme="9"/>
        </bottom>
        <vertical/>
        <horizontal/>
      </border>
    </dxf>
    <dxf>
      <font>
        <b/>
        <i val="0"/>
        <sz val="10"/>
        <color theme="1"/>
        <name val="Segoe UI"/>
        <family val="2"/>
        <scheme val="none"/>
      </font>
      <fill>
        <patternFill>
          <fgColor theme="9" tint="-0.24994659260841701"/>
          <bgColor theme="9" tint="-0.2499465926084170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822A7D33-3FBF-4DAB-90BE-EAA95F13C86C}">
      <tableStyleElement type="wholeTable" dxfId="65"/>
      <tableStyleElement type="headerRow" dxfId="6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[805d54f9-6d53-4246-bed7-4aa2da615923.xlsx]C̳álculos!Tbl_annual_total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C50-40F0-BABD-1877DD5BCA0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C50-40F0-BABD-1877DD5BCA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50-40F0-BABD-1877DD5BC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2864799"/>
        <c:axId val="542854719"/>
      </c:barChart>
      <c:catAx>
        <c:axId val="542864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2854719"/>
        <c:crosses val="autoZero"/>
        <c:auto val="1"/>
        <c:lblAlgn val="ctr"/>
        <c:lblOffset val="100"/>
        <c:noMultiLvlLbl val="0"/>
      </c:catAx>
      <c:valAx>
        <c:axId val="54285471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4286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116416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116416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11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538325</xdr:colOff>
      <xdr:row>0</xdr:row>
      <xdr:rowOff>85397</xdr:rowOff>
    </xdr:from>
    <xdr:to>
      <xdr:col>0</xdr:col>
      <xdr:colOff>1346636</xdr:colOff>
      <xdr:row>4</xdr:row>
      <xdr:rowOff>105103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8518DEF-D987-4985-8BEE-3FDBF67326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12" t="17146" r="73267" b="17272"/>
        <a:stretch>
          <a:fillRect/>
        </a:stretch>
      </xdr:blipFill>
      <xdr:spPr>
        <a:xfrm>
          <a:off x="538325" y="85397"/>
          <a:ext cx="808311" cy="1005051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4</xdr:row>
      <xdr:rowOff>190498</xdr:rowOff>
    </xdr:from>
    <xdr:to>
      <xdr:col>0</xdr:col>
      <xdr:colOff>1838325</xdr:colOff>
      <xdr:row>19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1C07DE88-4E11-400D-877A-70B42100C6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175843"/>
              <a:ext cx="1828800" cy="26955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495300</xdr:colOff>
      <xdr:row>4</xdr:row>
      <xdr:rowOff>28574</xdr:rowOff>
    </xdr:from>
    <xdr:to>
      <xdr:col>9</xdr:col>
      <xdr:colOff>428625</xdr:colOff>
      <xdr:row>12</xdr:row>
      <xdr:rowOff>19051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F546D426-5D37-C27F-B00B-3D5692315A07}"/>
            </a:ext>
          </a:extLst>
        </xdr:cNvPr>
        <xdr:cNvGrpSpPr/>
      </xdr:nvGrpSpPr>
      <xdr:grpSpPr>
        <a:xfrm>
          <a:off x="2374024" y="1013919"/>
          <a:ext cx="4820635" cy="1514477"/>
          <a:chOff x="2352675" y="1057274"/>
          <a:chExt cx="4810125" cy="1514477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E6434586-3C23-07B1-BFD9-860C8A328778}"/>
              </a:ext>
            </a:extLst>
          </xdr:cNvPr>
          <xdr:cNvSpPr/>
        </xdr:nvSpPr>
        <xdr:spPr>
          <a:xfrm>
            <a:off x="2362200" y="1057276"/>
            <a:ext cx="4800600" cy="1390649"/>
          </a:xfrm>
          <a:prstGeom prst="roundRect">
            <a:avLst>
              <a:gd name="adj" fmla="val 785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0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6EFDF942-7FD3-4E32-9323-93A2834DB479}"/>
              </a:ext>
            </a:extLst>
          </xdr:cNvPr>
          <xdr:cNvSpPr/>
        </xdr:nvSpPr>
        <xdr:spPr>
          <a:xfrm>
            <a:off x="3781425" y="1466852"/>
            <a:ext cx="3114675" cy="990599"/>
          </a:xfrm>
          <a:prstGeom prst="roundRect">
            <a:avLst>
              <a:gd name="adj" fmla="val 785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5045C5A-C665-4269-95ED-92703590A378}" type="TxLink">
              <a:rPr lang="en-US" sz="4000" b="0" i="0" u="none" strike="noStrike">
                <a:solidFill>
                  <a:schemeClr val="accent6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R$ 600,00</a:t>
            </a:fld>
            <a:endParaRPr lang="pt-BR" sz="4000">
              <a:solidFill>
                <a:schemeClr val="accent6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9C421D84-293C-4E66-ADC8-3DBFC8187F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71775" y="1352551"/>
            <a:ext cx="1219200" cy="1219200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1BAFCC42-ADCE-BCD5-BF19-A82863D7AFB1}"/>
              </a:ext>
            </a:extLst>
          </xdr:cNvPr>
          <xdr:cNvSpPr/>
        </xdr:nvSpPr>
        <xdr:spPr>
          <a:xfrm>
            <a:off x="2352675" y="1057274"/>
            <a:ext cx="4810125" cy="390525"/>
          </a:xfrm>
          <a:prstGeom prst="round2Same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581025</xdr:colOff>
      <xdr:row>4</xdr:row>
      <xdr:rowOff>28574</xdr:rowOff>
    </xdr:from>
    <xdr:to>
      <xdr:col>17</xdr:col>
      <xdr:colOff>514350</xdr:colOff>
      <xdr:row>11</xdr:row>
      <xdr:rowOff>114300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F0BE9192-8794-10C6-AB63-0CD68B79E24E}"/>
            </a:ext>
          </a:extLst>
        </xdr:cNvPr>
        <xdr:cNvGrpSpPr/>
      </xdr:nvGrpSpPr>
      <xdr:grpSpPr>
        <a:xfrm>
          <a:off x="7347059" y="1013919"/>
          <a:ext cx="4820636" cy="1419226"/>
          <a:chOff x="7334250" y="1057274"/>
          <a:chExt cx="4810125" cy="1419226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0CF9ABDF-E173-EA1C-678E-A5152023AB25}"/>
              </a:ext>
            </a:extLst>
          </xdr:cNvPr>
          <xdr:cNvSpPr/>
        </xdr:nvSpPr>
        <xdr:spPr>
          <a:xfrm>
            <a:off x="7343775" y="1085851"/>
            <a:ext cx="4800600" cy="1390649"/>
          </a:xfrm>
          <a:prstGeom prst="roundRect">
            <a:avLst>
              <a:gd name="adj" fmla="val 785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31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7E892BDD-5702-094A-5DC0-525665E4AFB1}"/>
              </a:ext>
            </a:extLst>
          </xdr:cNvPr>
          <xdr:cNvSpPr/>
        </xdr:nvSpPr>
        <xdr:spPr>
          <a:xfrm>
            <a:off x="8848725" y="1447802"/>
            <a:ext cx="3114675" cy="990599"/>
          </a:xfrm>
          <a:prstGeom prst="roundRect">
            <a:avLst>
              <a:gd name="adj" fmla="val 785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7AEDEA1-F0E7-4C05-97B6-483A0316646A}" type="TxLink">
              <a:rPr lang="en-US" sz="4000" b="0" i="0" u="none" strike="noStrike">
                <a:solidFill>
                  <a:schemeClr val="accent6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R$ 940,00</a:t>
            </a:fld>
            <a:endParaRPr lang="pt-BR" sz="4000">
              <a:solidFill>
                <a:schemeClr val="accent6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286C5393-69B0-2FC5-F6D0-1F46721E787F}"/>
              </a:ext>
            </a:extLst>
          </xdr:cNvPr>
          <xdr:cNvSpPr/>
        </xdr:nvSpPr>
        <xdr:spPr>
          <a:xfrm>
            <a:off x="7334250" y="1057274"/>
            <a:ext cx="4810125" cy="390525"/>
          </a:xfrm>
          <a:prstGeom prst="round2Same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MINECRAFT SEASON PASS</a:t>
            </a:r>
          </a:p>
        </xdr:txBody>
      </xdr: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243E9CD4-BE47-4E8A-B41E-C2D8428864FE}"/>
              </a:ext>
            </a:extLst>
          </xdr:cNvPr>
          <xdr:cNvGrpSpPr/>
        </xdr:nvGrpSpPr>
        <xdr:grpSpPr>
          <a:xfrm>
            <a:off x="7581900" y="1557339"/>
            <a:ext cx="1416126" cy="771524"/>
            <a:chOff x="3495675" y="5400674"/>
            <a:chExt cx="1549476" cy="752476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05015F47-8186-11B5-EB49-ACCF51ED56F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2" name="Gráfico 21">
              <a:extLst>
                <a:ext uri="{FF2B5EF4-FFF2-40B4-BE49-F238E27FC236}">
                  <a16:creationId xmlns:a16="http://schemas.microsoft.com/office/drawing/2014/main" id="{3E55BEF4-1A62-99DD-CCCA-A2C92D9763C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495300</xdr:colOff>
      <xdr:row>12</xdr:row>
      <xdr:rowOff>161924</xdr:rowOff>
    </xdr:from>
    <xdr:to>
      <xdr:col>17</xdr:col>
      <xdr:colOff>561975</xdr:colOff>
      <xdr:row>27</xdr:row>
      <xdr:rowOff>142875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0946E08B-FA2A-D3D6-1775-7C33073AA2AF}"/>
            </a:ext>
          </a:extLst>
        </xdr:cNvPr>
        <xdr:cNvGrpSpPr/>
      </xdr:nvGrpSpPr>
      <xdr:grpSpPr>
        <a:xfrm>
          <a:off x="2374024" y="2671269"/>
          <a:ext cx="9841296" cy="2838451"/>
          <a:chOff x="2343150" y="2647949"/>
          <a:chExt cx="9820275" cy="2838451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EA40D2F7-3CF2-6813-D19D-328518CB8B5B}"/>
              </a:ext>
            </a:extLst>
          </xdr:cNvPr>
          <xdr:cNvGrpSpPr/>
        </xdr:nvGrpSpPr>
        <xdr:grpSpPr>
          <a:xfrm>
            <a:off x="2343150" y="2647950"/>
            <a:ext cx="9820275" cy="2838450"/>
            <a:chOff x="2295525" y="1076325"/>
            <a:chExt cx="4800600" cy="2971800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0FF172B5-1327-1B1A-C66E-D2FB29DA643F}"/>
                </a:ext>
              </a:extLst>
            </xdr:cNvPr>
            <xdr:cNvSpPr/>
          </xdr:nvSpPr>
          <xdr:spPr>
            <a:xfrm>
              <a:off x="2295525" y="1076325"/>
              <a:ext cx="4800600" cy="2971800"/>
            </a:xfrm>
            <a:prstGeom prst="roundRect">
              <a:avLst>
                <a:gd name="adj" fmla="val 544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61C0947D-9057-4288-8812-A7F71676281E}"/>
                </a:ext>
              </a:extLst>
            </xdr:cNvPr>
            <xdr:cNvGraphicFramePr>
              <a:graphicFrameLocks/>
            </xdr:cNvGraphicFramePr>
          </xdr:nvGraphicFramePr>
          <xdr:xfrm>
            <a:off x="2514600" y="1171575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9C7F94C3-8088-4882-8607-8259B68A1FDA}"/>
              </a:ext>
            </a:extLst>
          </xdr:cNvPr>
          <xdr:cNvSpPr/>
        </xdr:nvSpPr>
        <xdr:spPr>
          <a:xfrm>
            <a:off x="2352675" y="2647949"/>
            <a:ext cx="9801225" cy="390525"/>
          </a:xfrm>
          <a:prstGeom prst="round2Same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2.875219444446" createdVersion="8" refreshedVersion="8" minRefreshableVersion="3" recordCount="295" xr:uid="{30297C45-96FC-4801-82CB-F35AD156E898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6392433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x v="0"/>
    <x v="0"/>
    <n v="20"/>
    <n v="5"/>
    <n v="60"/>
  </r>
  <r>
    <n v="3232"/>
    <s v="Maria Oliveira"/>
    <x v="1"/>
    <d v="2024-01-15T00:00:00"/>
    <x v="1"/>
    <n v="5"/>
    <x v="1"/>
    <x v="1"/>
    <x v="1"/>
    <x v="1"/>
    <n v="0"/>
    <n v="0"/>
    <n v="5"/>
  </r>
  <r>
    <n v="3233"/>
    <s v="Lucas Fernandes"/>
    <x v="2"/>
    <d v="2024-02-10T00:00:00"/>
    <x v="0"/>
    <n v="10"/>
    <x v="2"/>
    <x v="1"/>
    <x v="1"/>
    <x v="0"/>
    <n v="20"/>
    <n v="10"/>
    <n v="20"/>
  </r>
  <r>
    <n v="3234"/>
    <s v="Ana Souza"/>
    <x v="0"/>
    <d v="2024-02-20T00:00:00"/>
    <x v="1"/>
    <n v="15"/>
    <x v="0"/>
    <x v="0"/>
    <x v="0"/>
    <x v="0"/>
    <n v="20"/>
    <n v="3"/>
    <n v="62"/>
  </r>
  <r>
    <n v="3235"/>
    <s v="Pedro Gonçalves"/>
    <x v="1"/>
    <d v="2024-03-05T00:00:00"/>
    <x v="0"/>
    <n v="5"/>
    <x v="0"/>
    <x v="1"/>
    <x v="1"/>
    <x v="1"/>
    <n v="0"/>
    <n v="1"/>
    <n v="4"/>
  </r>
  <r>
    <n v="3236"/>
    <s v="Felipe Costa"/>
    <x v="2"/>
    <d v="2024-03-02T00:00:00"/>
    <x v="1"/>
    <n v="10"/>
    <x v="0"/>
    <x v="1"/>
    <x v="1"/>
    <x v="0"/>
    <n v="20"/>
    <n v="2"/>
    <n v="28"/>
  </r>
  <r>
    <n v="3237"/>
    <s v="Camila Ribeiro"/>
    <x v="0"/>
    <d v="2024-03-03T00:00:00"/>
    <x v="0"/>
    <n v="15"/>
    <x v="2"/>
    <x v="0"/>
    <x v="0"/>
    <x v="0"/>
    <n v="20"/>
    <n v="10"/>
    <n v="55"/>
  </r>
  <r>
    <n v="3238"/>
    <s v="André Mendes"/>
    <x v="1"/>
    <d v="2024-03-04T00:00:00"/>
    <x v="0"/>
    <n v="5"/>
    <x v="1"/>
    <x v="1"/>
    <x v="1"/>
    <x v="1"/>
    <n v="0"/>
    <n v="0"/>
    <n v="5"/>
  </r>
  <r>
    <n v="3239"/>
    <s v="Sofia Almeida"/>
    <x v="0"/>
    <d v="2024-03-05T00:00:00"/>
    <x v="1"/>
    <n v="15"/>
    <x v="0"/>
    <x v="0"/>
    <x v="0"/>
    <x v="0"/>
    <n v="20"/>
    <n v="5"/>
    <n v="60"/>
  </r>
  <r>
    <n v="3240"/>
    <s v="Bruno Martins"/>
    <x v="2"/>
    <d v="2024-03-06T00:00:00"/>
    <x v="0"/>
    <n v="10"/>
    <x v="2"/>
    <x v="1"/>
    <x v="1"/>
    <x v="0"/>
    <n v="20"/>
    <n v="15"/>
    <n v="15"/>
  </r>
  <r>
    <n v="3241"/>
    <s v="Rita Castro"/>
    <x v="1"/>
    <d v="2024-03-07T00:00:00"/>
    <x v="1"/>
    <n v="5"/>
    <x v="0"/>
    <x v="1"/>
    <x v="1"/>
    <x v="1"/>
    <n v="0"/>
    <n v="1"/>
    <n v="4"/>
  </r>
  <r>
    <n v="3242"/>
    <s v="Marco Túlio"/>
    <x v="0"/>
    <d v="2024-03-08T00:00:00"/>
    <x v="0"/>
    <n v="15"/>
    <x v="1"/>
    <x v="0"/>
    <x v="0"/>
    <x v="0"/>
    <n v="20"/>
    <n v="20"/>
    <n v="45"/>
  </r>
  <r>
    <n v="3243"/>
    <s v="Lívia Silveira"/>
    <x v="2"/>
    <d v="2024-03-09T00:00:00"/>
    <x v="1"/>
    <n v="10"/>
    <x v="0"/>
    <x v="1"/>
    <x v="1"/>
    <x v="0"/>
    <n v="20"/>
    <n v="10"/>
    <n v="20"/>
  </r>
  <r>
    <n v="3244"/>
    <s v="Diogo Sousa"/>
    <x v="1"/>
    <d v="2024-03-10T00:00:00"/>
    <x v="0"/>
    <n v="5"/>
    <x v="2"/>
    <x v="1"/>
    <x v="1"/>
    <x v="1"/>
    <n v="0"/>
    <n v="0"/>
    <n v="5"/>
  </r>
  <r>
    <n v="3245"/>
    <s v="Fernanda Lima"/>
    <x v="0"/>
    <d v="2024-03-11T00:00:00"/>
    <x v="1"/>
    <n v="15"/>
    <x v="0"/>
    <x v="0"/>
    <x v="0"/>
    <x v="0"/>
    <n v="20"/>
    <n v="8"/>
    <n v="57"/>
  </r>
  <r>
    <n v="3246"/>
    <s v="Caio Pereira"/>
    <x v="2"/>
    <d v="2024-03-12T00:00:00"/>
    <x v="0"/>
    <n v="10"/>
    <x v="1"/>
    <x v="1"/>
    <x v="1"/>
    <x v="0"/>
    <n v="20"/>
    <n v="12"/>
    <n v="18"/>
  </r>
  <r>
    <n v="3247"/>
    <s v="Beatriz Gomes"/>
    <x v="1"/>
    <d v="2024-03-13T00:00:00"/>
    <x v="1"/>
    <n v="5"/>
    <x v="0"/>
    <x v="1"/>
    <x v="1"/>
    <x v="1"/>
    <n v="0"/>
    <n v="2"/>
    <n v="3"/>
  </r>
  <r>
    <n v="3248"/>
    <s v="Cesar Oliveira"/>
    <x v="0"/>
    <d v="2024-03-14T00:00:00"/>
    <x v="0"/>
    <n v="15"/>
    <x v="2"/>
    <x v="0"/>
    <x v="0"/>
    <x v="0"/>
    <n v="20"/>
    <n v="7"/>
    <n v="58"/>
  </r>
  <r>
    <n v="3249"/>
    <s v="Débora Machado"/>
    <x v="2"/>
    <d v="2024-03-15T00:00:00"/>
    <x v="1"/>
    <n v="10"/>
    <x v="0"/>
    <x v="1"/>
    <x v="1"/>
    <x v="0"/>
    <n v="20"/>
    <n v="5"/>
    <n v="25"/>
  </r>
  <r>
    <n v="3250"/>
    <s v="Eduardo Vargas"/>
    <x v="1"/>
    <d v="2024-03-16T00:00:00"/>
    <x v="0"/>
    <n v="5"/>
    <x v="1"/>
    <x v="1"/>
    <x v="1"/>
    <x v="1"/>
    <n v="0"/>
    <n v="0"/>
    <n v="5"/>
  </r>
  <r>
    <n v="3251"/>
    <s v="Gabriela Santos"/>
    <x v="0"/>
    <d v="2024-03-17T00:00:00"/>
    <x v="1"/>
    <n v="15"/>
    <x v="0"/>
    <x v="0"/>
    <x v="0"/>
    <x v="0"/>
    <n v="20"/>
    <n v="3"/>
    <n v="62"/>
  </r>
  <r>
    <n v="3252"/>
    <s v="Henrique Dias"/>
    <x v="2"/>
    <d v="2024-03-18T00:00:00"/>
    <x v="0"/>
    <n v="10"/>
    <x v="2"/>
    <x v="1"/>
    <x v="1"/>
    <x v="0"/>
    <n v="20"/>
    <n v="15"/>
    <n v="15"/>
  </r>
  <r>
    <n v="3253"/>
    <s v="Isabela Moreira"/>
    <x v="1"/>
    <d v="2024-03-19T00:00:00"/>
    <x v="1"/>
    <n v="5"/>
    <x v="0"/>
    <x v="1"/>
    <x v="1"/>
    <x v="1"/>
    <n v="0"/>
    <n v="1"/>
    <n v="4"/>
  </r>
  <r>
    <n v="3254"/>
    <s v="Joaquim Barbosa"/>
    <x v="0"/>
    <d v="2024-03-20T00:00:00"/>
    <x v="0"/>
    <n v="15"/>
    <x v="1"/>
    <x v="0"/>
    <x v="0"/>
    <x v="0"/>
    <n v="20"/>
    <n v="20"/>
    <n v="45"/>
  </r>
  <r>
    <n v="3255"/>
    <s v="Lara Rocha"/>
    <x v="2"/>
    <d v="2024-03-21T00:00:00"/>
    <x v="1"/>
    <n v="10"/>
    <x v="0"/>
    <x v="1"/>
    <x v="1"/>
    <x v="0"/>
    <n v="20"/>
    <n v="10"/>
    <n v="20"/>
  </r>
  <r>
    <n v="3256"/>
    <s v="Matheus Silva"/>
    <x v="1"/>
    <d v="2024-03-22T00:00:00"/>
    <x v="0"/>
    <n v="5"/>
    <x v="2"/>
    <x v="1"/>
    <x v="1"/>
    <x v="1"/>
    <n v="0"/>
    <n v="0"/>
    <n v="5"/>
  </r>
  <r>
    <n v="3257"/>
    <s v="Nicole Costa"/>
    <x v="0"/>
    <d v="2024-03-23T00:00:00"/>
    <x v="1"/>
    <n v="15"/>
    <x v="0"/>
    <x v="0"/>
    <x v="0"/>
    <x v="0"/>
    <n v="20"/>
    <n v="5"/>
    <n v="60"/>
  </r>
  <r>
    <n v="3258"/>
    <s v="Otávio Mendonça"/>
    <x v="2"/>
    <d v="2024-03-24T00:00:00"/>
    <x v="0"/>
    <n v="10"/>
    <x v="1"/>
    <x v="1"/>
    <x v="1"/>
    <x v="0"/>
    <n v="20"/>
    <n v="15"/>
    <n v="15"/>
  </r>
  <r>
    <n v="3259"/>
    <s v="Paula Ferreira"/>
    <x v="1"/>
    <d v="2024-03-25T00:00:00"/>
    <x v="1"/>
    <n v="5"/>
    <x v="0"/>
    <x v="1"/>
    <x v="1"/>
    <x v="1"/>
    <n v="0"/>
    <n v="1"/>
    <n v="4"/>
  </r>
  <r>
    <n v="3260"/>
    <s v="Raquel Alves"/>
    <x v="0"/>
    <d v="2024-03-26T00:00:00"/>
    <x v="0"/>
    <n v="15"/>
    <x v="2"/>
    <x v="0"/>
    <x v="0"/>
    <x v="0"/>
    <n v="20"/>
    <n v="7"/>
    <n v="58"/>
  </r>
  <r>
    <n v="3261"/>
    <s v="Samuel Pires"/>
    <x v="2"/>
    <d v="2024-03-27T00:00:00"/>
    <x v="1"/>
    <n v="10"/>
    <x v="0"/>
    <x v="1"/>
    <x v="1"/>
    <x v="0"/>
    <n v="20"/>
    <n v="10"/>
    <n v="20"/>
  </r>
  <r>
    <n v="3262"/>
    <s v="Tânia Barros"/>
    <x v="1"/>
    <d v="2024-03-28T00:00:00"/>
    <x v="0"/>
    <n v="5"/>
    <x v="1"/>
    <x v="1"/>
    <x v="1"/>
    <x v="1"/>
    <n v="0"/>
    <n v="0"/>
    <n v="5"/>
  </r>
  <r>
    <n v="3263"/>
    <s v="Vinicius Lima"/>
    <x v="0"/>
    <d v="2024-03-29T00:00:00"/>
    <x v="1"/>
    <n v="15"/>
    <x v="0"/>
    <x v="0"/>
    <x v="0"/>
    <x v="0"/>
    <n v="20"/>
    <n v="3"/>
    <n v="62"/>
  </r>
  <r>
    <n v="3264"/>
    <s v="Yasmin Teixeira"/>
    <x v="2"/>
    <d v="2024-03-30T00:00:00"/>
    <x v="0"/>
    <n v="10"/>
    <x v="2"/>
    <x v="1"/>
    <x v="1"/>
    <x v="0"/>
    <n v="20"/>
    <n v="15"/>
    <n v="15"/>
  </r>
  <r>
    <n v="3265"/>
    <s v="Zé Carlos"/>
    <x v="1"/>
    <d v="2024-03-31T00:00:00"/>
    <x v="1"/>
    <n v="5"/>
    <x v="0"/>
    <x v="1"/>
    <x v="1"/>
    <x v="1"/>
    <n v="0"/>
    <n v="1"/>
    <n v="4"/>
  </r>
  <r>
    <n v="3266"/>
    <s v="Amanda Nogueira"/>
    <x v="1"/>
    <d v="2024-04-01T00:00:00"/>
    <x v="0"/>
    <n v="5"/>
    <x v="0"/>
    <x v="1"/>
    <x v="1"/>
    <x v="1"/>
    <n v="0"/>
    <n v="0"/>
    <n v="5"/>
  </r>
  <r>
    <n v="3267"/>
    <s v="Bruno Cavalheiro"/>
    <x v="0"/>
    <d v="2024-04-02T00:00:00"/>
    <x v="1"/>
    <n v="15"/>
    <x v="2"/>
    <x v="0"/>
    <x v="0"/>
    <x v="0"/>
    <n v="20"/>
    <n v="7"/>
    <n v="58"/>
  </r>
  <r>
    <n v="3268"/>
    <s v="Carla Dias"/>
    <x v="2"/>
    <d v="2024-04-03T00:00:00"/>
    <x v="0"/>
    <n v="10"/>
    <x v="1"/>
    <x v="1"/>
    <x v="1"/>
    <x v="0"/>
    <n v="20"/>
    <n v="10"/>
    <n v="20"/>
  </r>
  <r>
    <n v="3269"/>
    <s v="Diego Fontes"/>
    <x v="1"/>
    <d v="2024-04-04T00:00:00"/>
    <x v="1"/>
    <n v="5"/>
    <x v="2"/>
    <x v="1"/>
    <x v="1"/>
    <x v="1"/>
    <n v="0"/>
    <n v="1"/>
    <n v="4"/>
  </r>
  <r>
    <n v="3270"/>
    <s v="Eunice Lima"/>
    <x v="0"/>
    <d v="2024-04-05T00:00:00"/>
    <x v="0"/>
    <n v="15"/>
    <x v="0"/>
    <x v="0"/>
    <x v="0"/>
    <x v="0"/>
    <n v="20"/>
    <n v="15"/>
    <n v="50"/>
  </r>
  <r>
    <n v="3271"/>
    <s v="Fábio Martins"/>
    <x v="2"/>
    <d v="2024-04-06T00:00:00"/>
    <x v="1"/>
    <n v="10"/>
    <x v="0"/>
    <x v="1"/>
    <x v="1"/>
    <x v="0"/>
    <n v="20"/>
    <n v="5"/>
    <n v="25"/>
  </r>
  <r>
    <n v="3272"/>
    <s v="Gisele Araújo"/>
    <x v="1"/>
    <d v="2024-04-07T00:00:00"/>
    <x v="0"/>
    <n v="5"/>
    <x v="1"/>
    <x v="1"/>
    <x v="1"/>
    <x v="1"/>
    <n v="0"/>
    <n v="0"/>
    <n v="5"/>
  </r>
  <r>
    <n v="3273"/>
    <s v="Hélio Castro"/>
    <x v="0"/>
    <d v="2024-04-08T00:00:00"/>
    <x v="1"/>
    <n v="15"/>
    <x v="2"/>
    <x v="0"/>
    <x v="0"/>
    <x v="0"/>
    <n v="20"/>
    <n v="20"/>
    <n v="45"/>
  </r>
  <r>
    <n v="3274"/>
    <s v="Ingrid Menezes"/>
    <x v="2"/>
    <d v="2024-04-09T00:00:00"/>
    <x v="0"/>
    <n v="10"/>
    <x v="2"/>
    <x v="1"/>
    <x v="1"/>
    <x v="0"/>
    <n v="20"/>
    <n v="12"/>
    <n v="18"/>
  </r>
  <r>
    <n v="3275"/>
    <s v="Jorge Baptista"/>
    <x v="1"/>
    <d v="2024-04-10T00:00:00"/>
    <x v="1"/>
    <n v="5"/>
    <x v="0"/>
    <x v="1"/>
    <x v="1"/>
    <x v="1"/>
    <n v="0"/>
    <n v="2"/>
    <n v="3"/>
  </r>
  <r>
    <n v="3276"/>
    <s v="Kléber Oliveira"/>
    <x v="0"/>
    <d v="2024-04-11T00:00:00"/>
    <x v="0"/>
    <n v="15"/>
    <x v="1"/>
    <x v="0"/>
    <x v="0"/>
    <x v="0"/>
    <n v="20"/>
    <n v="5"/>
    <n v="60"/>
  </r>
  <r>
    <n v="3277"/>
    <s v="Luciana Freitas"/>
    <x v="2"/>
    <d v="2024-04-12T00:00:00"/>
    <x v="1"/>
    <n v="10"/>
    <x v="0"/>
    <x v="1"/>
    <x v="1"/>
    <x v="0"/>
    <n v="20"/>
    <n v="10"/>
    <n v="20"/>
  </r>
  <r>
    <n v="3278"/>
    <s v="Márcia Eller"/>
    <x v="1"/>
    <d v="2024-04-13T00:00:00"/>
    <x v="0"/>
    <n v="5"/>
    <x v="2"/>
    <x v="1"/>
    <x v="1"/>
    <x v="1"/>
    <n v="0"/>
    <n v="0"/>
    <n v="5"/>
  </r>
  <r>
    <n v="3279"/>
    <s v="Nilo Peçanha"/>
    <x v="0"/>
    <d v="2024-04-14T00:00:00"/>
    <x v="1"/>
    <n v="15"/>
    <x v="0"/>
    <x v="0"/>
    <x v="0"/>
    <x v="0"/>
    <n v="20"/>
    <n v="3"/>
    <n v="62"/>
  </r>
  <r>
    <n v="3280"/>
    <s v="Oscar Neves"/>
    <x v="2"/>
    <d v="2024-04-15T00:00:00"/>
    <x v="0"/>
    <n v="10"/>
    <x v="1"/>
    <x v="1"/>
    <x v="1"/>
    <x v="0"/>
    <n v="20"/>
    <n v="15"/>
    <n v="15"/>
  </r>
  <r>
    <n v="3281"/>
    <s v="Patrícia Soares"/>
    <x v="1"/>
    <d v="2024-04-16T00:00:00"/>
    <x v="1"/>
    <n v="5"/>
    <x v="0"/>
    <x v="1"/>
    <x v="1"/>
    <x v="1"/>
    <n v="0"/>
    <n v="1"/>
    <n v="4"/>
  </r>
  <r>
    <n v="3282"/>
    <s v="Quirino Gonçalves"/>
    <x v="0"/>
    <d v="2024-04-17T00:00:00"/>
    <x v="0"/>
    <n v="15"/>
    <x v="2"/>
    <x v="0"/>
    <x v="0"/>
    <x v="0"/>
    <n v="20"/>
    <n v="7"/>
    <n v="58"/>
  </r>
  <r>
    <n v="3283"/>
    <s v="Raul Machado"/>
    <x v="2"/>
    <d v="2024-04-18T00:00:00"/>
    <x v="1"/>
    <n v="10"/>
    <x v="0"/>
    <x v="1"/>
    <x v="1"/>
    <x v="0"/>
    <n v="20"/>
    <n v="10"/>
    <n v="20"/>
  </r>
  <r>
    <n v="3284"/>
    <s v="Sônia Lobo"/>
    <x v="1"/>
    <d v="2024-04-19T00:00:00"/>
    <x v="0"/>
    <n v="5"/>
    <x v="1"/>
    <x v="1"/>
    <x v="1"/>
    <x v="1"/>
    <n v="0"/>
    <n v="0"/>
    <n v="5"/>
  </r>
  <r>
    <n v="3285"/>
    <s v="Tiago Ramos"/>
    <x v="0"/>
    <d v="2024-04-20T00:00:00"/>
    <x v="1"/>
    <n v="15"/>
    <x v="0"/>
    <x v="0"/>
    <x v="0"/>
    <x v="0"/>
    <n v="20"/>
    <n v="20"/>
    <n v="45"/>
  </r>
  <r>
    <n v="3286"/>
    <s v="Ugo Pires"/>
    <x v="2"/>
    <d v="2024-04-21T00:00:00"/>
    <x v="0"/>
    <n v="10"/>
    <x v="2"/>
    <x v="1"/>
    <x v="1"/>
    <x v="0"/>
    <n v="20"/>
    <n v="15"/>
    <n v="15"/>
  </r>
  <r>
    <n v="3287"/>
    <s v="Valéria Nobre"/>
    <x v="1"/>
    <d v="2024-04-22T00:00:00"/>
    <x v="1"/>
    <n v="5"/>
    <x v="0"/>
    <x v="1"/>
    <x v="1"/>
    <x v="1"/>
    <n v="0"/>
    <n v="1"/>
    <n v="4"/>
  </r>
  <r>
    <n v="3288"/>
    <s v="William Siqueira"/>
    <x v="0"/>
    <d v="2024-04-23T00:00:00"/>
    <x v="0"/>
    <n v="15"/>
    <x v="1"/>
    <x v="0"/>
    <x v="0"/>
    <x v="0"/>
    <n v="20"/>
    <n v="3"/>
    <n v="62"/>
  </r>
  <r>
    <n v="3289"/>
    <s v="Xuxa Meneghel"/>
    <x v="2"/>
    <d v="2024-04-24T00:00:00"/>
    <x v="1"/>
    <n v="10"/>
    <x v="0"/>
    <x v="1"/>
    <x v="1"/>
    <x v="0"/>
    <n v="20"/>
    <n v="10"/>
    <n v="20"/>
  </r>
  <r>
    <n v="3290"/>
    <s v="Yara Figueiredo"/>
    <x v="1"/>
    <d v="2024-04-25T00:00:00"/>
    <x v="0"/>
    <n v="5"/>
    <x v="2"/>
    <x v="1"/>
    <x v="1"/>
    <x v="1"/>
    <n v="0"/>
    <n v="0"/>
    <n v="5"/>
  </r>
  <r>
    <n v="3291"/>
    <s v="Zacarias Alves"/>
    <x v="0"/>
    <d v="2024-04-26T00:00:00"/>
    <x v="1"/>
    <n v="15"/>
    <x v="0"/>
    <x v="0"/>
    <x v="0"/>
    <x v="0"/>
    <n v="20"/>
    <n v="5"/>
    <n v="60"/>
  </r>
  <r>
    <n v="3292"/>
    <s v="Amanda Bynes"/>
    <x v="2"/>
    <d v="2024-04-27T00:00:00"/>
    <x v="0"/>
    <n v="10"/>
    <x v="1"/>
    <x v="1"/>
    <x v="1"/>
    <x v="0"/>
    <n v="20"/>
    <n v="15"/>
    <n v="15"/>
  </r>
  <r>
    <n v="3293"/>
    <s v="Bruno Mars"/>
    <x v="1"/>
    <d v="2024-04-28T00:00:00"/>
    <x v="1"/>
    <n v="5"/>
    <x v="0"/>
    <x v="1"/>
    <x v="1"/>
    <x v="1"/>
    <n v="0"/>
    <n v="1"/>
    <n v="4"/>
  </r>
  <r>
    <n v="3294"/>
    <s v="Carla Bruni"/>
    <x v="0"/>
    <d v="2024-04-29T00:00:00"/>
    <x v="0"/>
    <n v="15"/>
    <x v="2"/>
    <x v="0"/>
    <x v="0"/>
    <x v="0"/>
    <n v="20"/>
    <n v="20"/>
    <n v="45"/>
  </r>
  <r>
    <n v="3295"/>
    <s v="Diego Maradona"/>
    <x v="2"/>
    <d v="2024-04-30T00:00:00"/>
    <x v="1"/>
    <n v="10"/>
    <x v="0"/>
    <x v="1"/>
    <x v="1"/>
    <x v="0"/>
    <n v="20"/>
    <n v="5"/>
    <n v="25"/>
  </r>
  <r>
    <n v="3296"/>
    <s v="Estela Marques"/>
    <x v="1"/>
    <d v="2024-05-01T00:00:00"/>
    <x v="1"/>
    <n v="5"/>
    <x v="0"/>
    <x v="1"/>
    <x v="1"/>
    <x v="1"/>
    <n v="0"/>
    <n v="0"/>
    <n v="5"/>
  </r>
  <r>
    <n v="3297"/>
    <s v="Fábio Nobre"/>
    <x v="0"/>
    <d v="2024-05-02T00:00:00"/>
    <x v="0"/>
    <n v="15"/>
    <x v="2"/>
    <x v="0"/>
    <x v="0"/>
    <x v="0"/>
    <n v="20"/>
    <n v="7"/>
    <n v="58"/>
  </r>
  <r>
    <n v="3298"/>
    <s v="Gabriel Oliveira"/>
    <x v="2"/>
    <d v="2024-05-03T00:00:00"/>
    <x v="1"/>
    <n v="10"/>
    <x v="1"/>
    <x v="1"/>
    <x v="1"/>
    <x v="0"/>
    <n v="20"/>
    <n v="10"/>
    <n v="20"/>
  </r>
  <r>
    <n v="3299"/>
    <s v="Helena Santos"/>
    <x v="1"/>
    <d v="2024-05-04T00:00:00"/>
    <x v="0"/>
    <n v="5"/>
    <x v="2"/>
    <x v="1"/>
    <x v="1"/>
    <x v="1"/>
    <n v="0"/>
    <n v="1"/>
    <n v="4"/>
  </r>
  <r>
    <n v="3300"/>
    <s v="Ivan Carvalho"/>
    <x v="0"/>
    <d v="2024-05-05T00:00:00"/>
    <x v="1"/>
    <n v="15"/>
    <x v="0"/>
    <x v="0"/>
    <x v="0"/>
    <x v="0"/>
    <n v="20"/>
    <n v="15"/>
    <n v="50"/>
  </r>
  <r>
    <n v="3301"/>
    <s v="Júlia Ferreira"/>
    <x v="2"/>
    <d v="2024-05-06T00:00:00"/>
    <x v="0"/>
    <n v="10"/>
    <x v="0"/>
    <x v="1"/>
    <x v="1"/>
    <x v="0"/>
    <n v="20"/>
    <n v="5"/>
    <n v="25"/>
  </r>
  <r>
    <n v="3302"/>
    <s v="Karla Alves"/>
    <x v="1"/>
    <d v="2024-05-07T00:00:00"/>
    <x v="1"/>
    <n v="5"/>
    <x v="1"/>
    <x v="1"/>
    <x v="1"/>
    <x v="1"/>
    <n v="0"/>
    <n v="0"/>
    <n v="5"/>
  </r>
  <r>
    <n v="3303"/>
    <s v="Lucas Mendes"/>
    <x v="0"/>
    <d v="2024-05-08T00:00:00"/>
    <x v="0"/>
    <n v="15"/>
    <x v="2"/>
    <x v="0"/>
    <x v="0"/>
    <x v="0"/>
    <n v="20"/>
    <n v="20"/>
    <n v="45"/>
  </r>
  <r>
    <n v="3304"/>
    <s v="Mônica Gomes"/>
    <x v="2"/>
    <d v="2024-05-09T00:00:00"/>
    <x v="1"/>
    <n v="10"/>
    <x v="2"/>
    <x v="1"/>
    <x v="1"/>
    <x v="0"/>
    <n v="20"/>
    <n v="12"/>
    <n v="18"/>
  </r>
  <r>
    <n v="3305"/>
    <s v="Norberto Queiroz"/>
    <x v="1"/>
    <d v="2024-05-10T00:00:00"/>
    <x v="0"/>
    <n v="5"/>
    <x v="0"/>
    <x v="1"/>
    <x v="1"/>
    <x v="1"/>
    <n v="0"/>
    <n v="2"/>
    <n v="3"/>
  </r>
  <r>
    <n v="3306"/>
    <s v="Otávio Barros"/>
    <x v="0"/>
    <d v="2024-05-11T00:00:00"/>
    <x v="1"/>
    <n v="15"/>
    <x v="1"/>
    <x v="0"/>
    <x v="0"/>
    <x v="0"/>
    <n v="20"/>
    <n v="5"/>
    <n v="60"/>
  </r>
  <r>
    <n v="3307"/>
    <s v="Paula Vieira"/>
    <x v="2"/>
    <d v="2024-05-12T00:00:00"/>
    <x v="0"/>
    <n v="10"/>
    <x v="0"/>
    <x v="1"/>
    <x v="1"/>
    <x v="0"/>
    <n v="20"/>
    <n v="10"/>
    <n v="20"/>
  </r>
  <r>
    <n v="3308"/>
    <s v="Quentin Ramos"/>
    <x v="1"/>
    <d v="2024-05-13T00:00:00"/>
    <x v="1"/>
    <n v="5"/>
    <x v="2"/>
    <x v="1"/>
    <x v="1"/>
    <x v="1"/>
    <n v="0"/>
    <n v="0"/>
    <n v="5"/>
  </r>
  <r>
    <n v="3309"/>
    <s v="Raquel Novaes"/>
    <x v="0"/>
    <d v="2024-05-14T00:00:00"/>
    <x v="0"/>
    <n v="15"/>
    <x v="0"/>
    <x v="0"/>
    <x v="0"/>
    <x v="0"/>
    <n v="20"/>
    <n v="3"/>
    <n v="62"/>
  </r>
  <r>
    <n v="3310"/>
    <s v="Samantha Lopes"/>
    <x v="2"/>
    <d v="2024-05-15T00:00:00"/>
    <x v="1"/>
    <n v="10"/>
    <x v="1"/>
    <x v="1"/>
    <x v="1"/>
    <x v="0"/>
    <n v="20"/>
    <n v="15"/>
    <n v="15"/>
  </r>
  <r>
    <n v="3311"/>
    <s v="Tiago Martins"/>
    <x v="1"/>
    <d v="2024-05-16T00:00:00"/>
    <x v="0"/>
    <n v="5"/>
    <x v="0"/>
    <x v="1"/>
    <x v="1"/>
    <x v="1"/>
    <n v="0"/>
    <n v="1"/>
    <n v="4"/>
  </r>
  <r>
    <n v="3312"/>
    <s v="Ulysses Guimarães"/>
    <x v="0"/>
    <d v="2024-05-17T00:00:00"/>
    <x v="1"/>
    <n v="15"/>
    <x v="2"/>
    <x v="0"/>
    <x v="0"/>
    <x v="0"/>
    <n v="20"/>
    <n v="7"/>
    <n v="58"/>
  </r>
  <r>
    <n v="3313"/>
    <s v="Vanessa Silva"/>
    <x v="2"/>
    <d v="2024-05-18T00:00:00"/>
    <x v="0"/>
    <n v="10"/>
    <x v="0"/>
    <x v="1"/>
    <x v="1"/>
    <x v="0"/>
    <n v="20"/>
    <n v="10"/>
    <n v="20"/>
  </r>
  <r>
    <n v="3314"/>
    <s v="William Carneiro"/>
    <x v="1"/>
    <d v="2024-05-19T00:00:00"/>
    <x v="1"/>
    <n v="5"/>
    <x v="1"/>
    <x v="1"/>
    <x v="1"/>
    <x v="1"/>
    <n v="0"/>
    <n v="0"/>
    <n v="5"/>
  </r>
  <r>
    <n v="3315"/>
    <s v="Ximena Rocha"/>
    <x v="0"/>
    <d v="2024-05-20T00:00:00"/>
    <x v="0"/>
    <n v="15"/>
    <x v="0"/>
    <x v="0"/>
    <x v="0"/>
    <x v="0"/>
    <n v="20"/>
    <n v="20"/>
    <n v="45"/>
  </r>
  <r>
    <n v="3316"/>
    <s v="Yasmin Figueiredo"/>
    <x v="2"/>
    <d v="2024-05-21T00:00:00"/>
    <x v="1"/>
    <n v="10"/>
    <x v="2"/>
    <x v="1"/>
    <x v="1"/>
    <x v="0"/>
    <n v="20"/>
    <n v="15"/>
    <n v="15"/>
  </r>
  <r>
    <n v="3317"/>
    <s v="Zara Cunha"/>
    <x v="1"/>
    <d v="2024-05-22T00:00:00"/>
    <x v="0"/>
    <n v="5"/>
    <x v="0"/>
    <x v="1"/>
    <x v="1"/>
    <x v="1"/>
    <n v="0"/>
    <n v="1"/>
    <n v="4"/>
  </r>
  <r>
    <n v="3318"/>
    <s v="Alan Teixeira"/>
    <x v="0"/>
    <d v="2024-05-23T00:00:00"/>
    <x v="1"/>
    <n v="15"/>
    <x v="1"/>
    <x v="0"/>
    <x v="0"/>
    <x v="0"/>
    <n v="20"/>
    <n v="3"/>
    <n v="62"/>
  </r>
  <r>
    <n v="3319"/>
    <s v="Bárbara Oliveira"/>
    <x v="2"/>
    <d v="2024-05-24T00:00:00"/>
    <x v="0"/>
    <n v="10"/>
    <x v="0"/>
    <x v="1"/>
    <x v="1"/>
    <x v="0"/>
    <n v="20"/>
    <n v="10"/>
    <n v="20"/>
  </r>
  <r>
    <n v="3320"/>
    <s v="Carlos Junqueira"/>
    <x v="1"/>
    <d v="2024-05-25T00:00:00"/>
    <x v="1"/>
    <n v="5"/>
    <x v="2"/>
    <x v="1"/>
    <x v="1"/>
    <x v="1"/>
    <n v="0"/>
    <n v="0"/>
    <n v="5"/>
  </r>
  <r>
    <n v="3321"/>
    <s v="Daniela Moura"/>
    <x v="0"/>
    <d v="2024-05-26T00:00:00"/>
    <x v="0"/>
    <n v="15"/>
    <x v="0"/>
    <x v="0"/>
    <x v="0"/>
    <x v="0"/>
    <n v="20"/>
    <n v="5"/>
    <n v="60"/>
  </r>
  <r>
    <n v="3322"/>
    <s v="Eduardo Lima"/>
    <x v="2"/>
    <d v="2024-05-27T00:00:00"/>
    <x v="1"/>
    <n v="10"/>
    <x v="1"/>
    <x v="1"/>
    <x v="1"/>
    <x v="0"/>
    <n v="20"/>
    <n v="15"/>
    <n v="15"/>
  </r>
  <r>
    <n v="3323"/>
    <s v="Fabiana Araújo"/>
    <x v="1"/>
    <d v="2024-05-28T00:00:00"/>
    <x v="0"/>
    <n v="5"/>
    <x v="0"/>
    <x v="1"/>
    <x v="1"/>
    <x v="1"/>
    <n v="0"/>
    <n v="1"/>
    <n v="4"/>
  </r>
  <r>
    <n v="3324"/>
    <s v="Geraldo Ribeiro"/>
    <x v="0"/>
    <d v="2024-05-29T00:00:00"/>
    <x v="1"/>
    <n v="15"/>
    <x v="2"/>
    <x v="0"/>
    <x v="0"/>
    <x v="0"/>
    <n v="20"/>
    <n v="20"/>
    <n v="45"/>
  </r>
  <r>
    <n v="3325"/>
    <s v="Héctor Vargas"/>
    <x v="2"/>
    <d v="2024-05-30T00:00:00"/>
    <x v="0"/>
    <n v="10"/>
    <x v="2"/>
    <x v="1"/>
    <x v="1"/>
    <x v="0"/>
    <n v="20"/>
    <n v="15"/>
    <n v="15"/>
  </r>
  <r>
    <n v="3326"/>
    <s v="Isabela Fonseca"/>
    <x v="1"/>
    <d v="2024-05-31T00:00:00"/>
    <x v="1"/>
    <n v="5"/>
    <x v="1"/>
    <x v="1"/>
    <x v="1"/>
    <x v="1"/>
    <n v="0"/>
    <n v="0"/>
    <n v="5"/>
  </r>
  <r>
    <n v="3327"/>
    <s v="João Pedro Almeida"/>
    <x v="0"/>
    <d v="2024-06-01T00:00:00"/>
    <x v="0"/>
    <n v="15"/>
    <x v="0"/>
    <x v="0"/>
    <x v="0"/>
    <x v="0"/>
    <n v="20"/>
    <n v="7"/>
    <n v="58"/>
  </r>
  <r>
    <n v="3328"/>
    <s v="Klara Costa"/>
    <x v="2"/>
    <d v="2024-06-02T00:00:00"/>
    <x v="1"/>
    <n v="10"/>
    <x v="1"/>
    <x v="1"/>
    <x v="1"/>
    <x v="0"/>
    <n v="20"/>
    <n v="10"/>
    <n v="20"/>
  </r>
  <r>
    <n v="3329"/>
    <s v="Luciana Mendes"/>
    <x v="1"/>
    <d v="2024-06-03T00:00:00"/>
    <x v="0"/>
    <n v="5"/>
    <x v="2"/>
    <x v="1"/>
    <x v="1"/>
    <x v="1"/>
    <n v="0"/>
    <n v="1"/>
    <n v="4"/>
  </r>
  <r>
    <n v="3330"/>
    <s v="Marcelo Gouveia"/>
    <x v="0"/>
    <d v="2024-06-04T00:00:00"/>
    <x v="1"/>
    <n v="15"/>
    <x v="0"/>
    <x v="0"/>
    <x v="0"/>
    <x v="0"/>
    <n v="20"/>
    <n v="15"/>
    <n v="50"/>
  </r>
  <r>
    <n v="3331"/>
    <s v="Nívea Borges"/>
    <x v="2"/>
    <d v="2024-06-05T00:00:00"/>
    <x v="0"/>
    <n v="10"/>
    <x v="0"/>
    <x v="1"/>
    <x v="1"/>
    <x v="0"/>
    <n v="20"/>
    <n v="5"/>
    <n v="25"/>
  </r>
  <r>
    <n v="3332"/>
    <s v="Oscar Nogueira"/>
    <x v="1"/>
    <d v="2024-06-06T00:00:00"/>
    <x v="1"/>
    <n v="5"/>
    <x v="1"/>
    <x v="1"/>
    <x v="1"/>
    <x v="1"/>
    <n v="0"/>
    <n v="0"/>
    <n v="5"/>
  </r>
  <r>
    <n v="3333"/>
    <s v="Patrícia Alves"/>
    <x v="0"/>
    <d v="2024-06-07T00:00:00"/>
    <x v="0"/>
    <n v="15"/>
    <x v="2"/>
    <x v="0"/>
    <x v="0"/>
    <x v="0"/>
    <n v="20"/>
    <n v="20"/>
    <n v="45"/>
  </r>
  <r>
    <n v="3334"/>
    <s v="Rafaela Silva"/>
    <x v="2"/>
    <d v="2024-06-08T00:00:00"/>
    <x v="1"/>
    <n v="10"/>
    <x v="2"/>
    <x v="1"/>
    <x v="1"/>
    <x v="0"/>
    <n v="20"/>
    <n v="12"/>
    <n v="18"/>
  </r>
  <r>
    <n v="3335"/>
    <s v="Samantha Moraes"/>
    <x v="1"/>
    <d v="2024-06-09T00:00:00"/>
    <x v="0"/>
    <n v="5"/>
    <x v="0"/>
    <x v="1"/>
    <x v="1"/>
    <x v="1"/>
    <n v="0"/>
    <n v="2"/>
    <n v="3"/>
  </r>
  <r>
    <n v="3336"/>
    <s v="Tatiana Rocha"/>
    <x v="1"/>
    <d v="2024-06-10T00:00:00"/>
    <x v="0"/>
    <n v="5"/>
    <x v="0"/>
    <x v="1"/>
    <x v="1"/>
    <x v="1"/>
    <n v="0"/>
    <n v="0"/>
    <n v="5"/>
  </r>
  <r>
    <n v="3337"/>
    <s v="Ulisses Tavares"/>
    <x v="0"/>
    <d v="2024-06-11T00:00:00"/>
    <x v="1"/>
    <n v="15"/>
    <x v="2"/>
    <x v="0"/>
    <x v="0"/>
    <x v="0"/>
    <n v="20"/>
    <n v="7"/>
    <n v="58"/>
  </r>
  <r>
    <n v="3338"/>
    <s v="Víctor Lemos"/>
    <x v="2"/>
    <d v="2024-06-12T00:00:00"/>
    <x v="0"/>
    <n v="10"/>
    <x v="1"/>
    <x v="1"/>
    <x v="1"/>
    <x v="0"/>
    <n v="20"/>
    <n v="10"/>
    <n v="20"/>
  </r>
  <r>
    <n v="3339"/>
    <s v="Wilma Barros"/>
    <x v="1"/>
    <d v="2024-06-13T00:00:00"/>
    <x v="1"/>
    <n v="5"/>
    <x v="2"/>
    <x v="1"/>
    <x v="1"/>
    <x v="1"/>
    <n v="0"/>
    <n v="1"/>
    <n v="4"/>
  </r>
  <r>
    <n v="3340"/>
    <s v="Xavier Nascimento"/>
    <x v="0"/>
    <d v="2024-06-14T00:00:00"/>
    <x v="0"/>
    <n v="15"/>
    <x v="0"/>
    <x v="0"/>
    <x v="0"/>
    <x v="0"/>
    <n v="20"/>
    <n v="15"/>
    <n v="50"/>
  </r>
  <r>
    <n v="3341"/>
    <s v="Yago Pereira"/>
    <x v="2"/>
    <d v="2024-06-15T00:00:00"/>
    <x v="1"/>
    <n v="10"/>
    <x v="0"/>
    <x v="1"/>
    <x v="1"/>
    <x v="0"/>
    <n v="20"/>
    <n v="5"/>
    <n v="25"/>
  </r>
  <r>
    <n v="3342"/>
    <s v="Zilda Ferreira"/>
    <x v="1"/>
    <d v="2024-06-16T00:00:00"/>
    <x v="0"/>
    <n v="5"/>
    <x v="1"/>
    <x v="1"/>
    <x v="1"/>
    <x v="1"/>
    <n v="0"/>
    <n v="0"/>
    <n v="5"/>
  </r>
  <r>
    <n v="3343"/>
    <s v="Amanda Lopes"/>
    <x v="0"/>
    <d v="2024-06-17T00:00:00"/>
    <x v="1"/>
    <n v="15"/>
    <x v="2"/>
    <x v="0"/>
    <x v="0"/>
    <x v="0"/>
    <n v="20"/>
    <n v="20"/>
    <n v="45"/>
  </r>
  <r>
    <n v="3344"/>
    <s v="Bruno Miranda"/>
    <x v="2"/>
    <d v="2024-06-18T00:00:00"/>
    <x v="0"/>
    <n v="10"/>
    <x v="2"/>
    <x v="1"/>
    <x v="1"/>
    <x v="0"/>
    <n v="20"/>
    <n v="12"/>
    <n v="18"/>
  </r>
  <r>
    <n v="3345"/>
    <s v="Célia Torres"/>
    <x v="1"/>
    <d v="2024-06-19T00:00:00"/>
    <x v="1"/>
    <n v="5"/>
    <x v="0"/>
    <x v="1"/>
    <x v="1"/>
    <x v="1"/>
    <n v="0"/>
    <n v="2"/>
    <n v="3"/>
  </r>
  <r>
    <n v="3346"/>
    <s v="Diogo Souza"/>
    <x v="0"/>
    <d v="2024-06-20T00:00:00"/>
    <x v="0"/>
    <n v="15"/>
    <x v="1"/>
    <x v="0"/>
    <x v="0"/>
    <x v="0"/>
    <n v="20"/>
    <n v="5"/>
    <n v="60"/>
  </r>
  <r>
    <n v="3347"/>
    <s v="Elisa Castro"/>
    <x v="2"/>
    <d v="2024-06-21T00:00:00"/>
    <x v="1"/>
    <n v="10"/>
    <x v="0"/>
    <x v="1"/>
    <x v="1"/>
    <x v="0"/>
    <n v="20"/>
    <n v="10"/>
    <n v="20"/>
  </r>
  <r>
    <n v="3348"/>
    <s v="Fátima Lima"/>
    <x v="1"/>
    <d v="2024-06-22T00:00:00"/>
    <x v="0"/>
    <n v="5"/>
    <x v="2"/>
    <x v="1"/>
    <x v="1"/>
    <x v="1"/>
    <n v="0"/>
    <n v="0"/>
    <n v="5"/>
  </r>
  <r>
    <n v="3349"/>
    <s v="Geraldo Ribeiro"/>
    <x v="0"/>
    <d v="2024-06-23T00:00:00"/>
    <x v="1"/>
    <n v="15"/>
    <x v="0"/>
    <x v="0"/>
    <x v="0"/>
    <x v="0"/>
    <n v="20"/>
    <n v="3"/>
    <n v="62"/>
  </r>
  <r>
    <n v="3350"/>
    <s v="Hélio Martins"/>
    <x v="2"/>
    <d v="2024-06-24T00:00:00"/>
    <x v="0"/>
    <n v="10"/>
    <x v="1"/>
    <x v="1"/>
    <x v="1"/>
    <x v="0"/>
    <n v="20"/>
    <n v="15"/>
    <n v="15"/>
  </r>
  <r>
    <n v="3351"/>
    <s v="Íris Santos"/>
    <x v="1"/>
    <d v="2024-06-25T00:00:00"/>
    <x v="1"/>
    <n v="5"/>
    <x v="0"/>
    <x v="1"/>
    <x v="1"/>
    <x v="1"/>
    <n v="0"/>
    <n v="1"/>
    <n v="4"/>
  </r>
  <r>
    <n v="3352"/>
    <s v="João Marcelo"/>
    <x v="0"/>
    <d v="2024-06-26T00:00:00"/>
    <x v="0"/>
    <n v="15"/>
    <x v="2"/>
    <x v="0"/>
    <x v="0"/>
    <x v="0"/>
    <n v="20"/>
    <n v="7"/>
    <n v="58"/>
  </r>
  <r>
    <n v="3353"/>
    <s v="Larissa Gomes"/>
    <x v="2"/>
    <d v="2024-06-27T00:00:00"/>
    <x v="1"/>
    <n v="10"/>
    <x v="0"/>
    <x v="1"/>
    <x v="1"/>
    <x v="0"/>
    <n v="20"/>
    <n v="10"/>
    <n v="20"/>
  </r>
  <r>
    <n v="3354"/>
    <s v="Márcio Silva"/>
    <x v="1"/>
    <d v="2024-06-28T00:00:00"/>
    <x v="0"/>
    <n v="5"/>
    <x v="1"/>
    <x v="1"/>
    <x v="1"/>
    <x v="1"/>
    <n v="0"/>
    <n v="0"/>
    <n v="5"/>
  </r>
  <r>
    <n v="3355"/>
    <s v="Nadia Costa"/>
    <x v="0"/>
    <d v="2024-06-29T00:00:00"/>
    <x v="1"/>
    <n v="15"/>
    <x v="0"/>
    <x v="0"/>
    <x v="0"/>
    <x v="0"/>
    <n v="20"/>
    <n v="20"/>
    <n v="45"/>
  </r>
  <r>
    <n v="3356"/>
    <s v="Oscar Almeida"/>
    <x v="2"/>
    <d v="2024-06-30T00:00:00"/>
    <x v="0"/>
    <n v="10"/>
    <x v="2"/>
    <x v="1"/>
    <x v="1"/>
    <x v="0"/>
    <n v="20"/>
    <n v="15"/>
    <n v="15"/>
  </r>
  <r>
    <n v="3357"/>
    <s v="Patricia Soares"/>
    <x v="1"/>
    <d v="2024-07-01T00:00:00"/>
    <x v="1"/>
    <n v="5"/>
    <x v="0"/>
    <x v="1"/>
    <x v="1"/>
    <x v="1"/>
    <n v="0"/>
    <n v="1"/>
    <n v="4"/>
  </r>
  <r>
    <n v="3358"/>
    <s v="Quênia Barros"/>
    <x v="0"/>
    <d v="2024-07-02T00:00:00"/>
    <x v="0"/>
    <n v="15"/>
    <x v="1"/>
    <x v="0"/>
    <x v="0"/>
    <x v="0"/>
    <n v="20"/>
    <n v="3"/>
    <n v="62"/>
  </r>
  <r>
    <n v="3359"/>
    <s v="Rafael Torres"/>
    <x v="2"/>
    <d v="2024-07-03T00:00:00"/>
    <x v="1"/>
    <n v="10"/>
    <x v="0"/>
    <x v="1"/>
    <x v="1"/>
    <x v="0"/>
    <n v="20"/>
    <n v="10"/>
    <n v="20"/>
  </r>
  <r>
    <n v="3360"/>
    <s v="Silvia Nascimento"/>
    <x v="1"/>
    <d v="2024-07-04T00:00:00"/>
    <x v="0"/>
    <n v="5"/>
    <x v="2"/>
    <x v="1"/>
    <x v="1"/>
    <x v="1"/>
    <n v="0"/>
    <n v="0"/>
    <n v="5"/>
  </r>
  <r>
    <n v="3361"/>
    <s v="Tiago Mendes"/>
    <x v="0"/>
    <d v="2024-07-05T00:00:00"/>
    <x v="1"/>
    <n v="15"/>
    <x v="0"/>
    <x v="0"/>
    <x v="0"/>
    <x v="0"/>
    <n v="20"/>
    <n v="15"/>
    <n v="50"/>
  </r>
  <r>
    <n v="3362"/>
    <s v="Ursula Silva"/>
    <x v="2"/>
    <d v="2024-07-06T00:00:00"/>
    <x v="0"/>
    <n v="10"/>
    <x v="1"/>
    <x v="1"/>
    <x v="1"/>
    <x v="0"/>
    <n v="20"/>
    <n v="15"/>
    <n v="15"/>
  </r>
  <r>
    <n v="3363"/>
    <s v="Vanessa Moraes"/>
    <x v="1"/>
    <d v="2024-07-07T00:00:00"/>
    <x v="1"/>
    <n v="5"/>
    <x v="0"/>
    <x v="1"/>
    <x v="1"/>
    <x v="1"/>
    <n v="0"/>
    <n v="1"/>
    <n v="4"/>
  </r>
  <r>
    <n v="3364"/>
    <s v="Waldir Junior"/>
    <x v="0"/>
    <d v="2024-07-08T00:00:00"/>
    <x v="0"/>
    <n v="15"/>
    <x v="2"/>
    <x v="0"/>
    <x v="0"/>
    <x v="0"/>
    <n v="20"/>
    <n v="7"/>
    <n v="58"/>
  </r>
  <r>
    <n v="3365"/>
    <s v="Xavier Lopes"/>
    <x v="2"/>
    <d v="2024-07-09T00:00:00"/>
    <x v="1"/>
    <n v="10"/>
    <x v="0"/>
    <x v="1"/>
    <x v="1"/>
    <x v="0"/>
    <n v="20"/>
    <n v="10"/>
    <n v="20"/>
  </r>
  <r>
    <n v="3366"/>
    <s v="Yolanda Freitas"/>
    <x v="1"/>
    <d v="2024-07-10T00:00:00"/>
    <x v="0"/>
    <n v="5"/>
    <x v="0"/>
    <x v="1"/>
    <x v="1"/>
    <x v="1"/>
    <n v="0"/>
    <n v="0"/>
    <n v="5"/>
  </r>
  <r>
    <n v="3367"/>
    <s v="Zacarias Nunes"/>
    <x v="0"/>
    <d v="2024-07-11T00:00:00"/>
    <x v="1"/>
    <n v="15"/>
    <x v="2"/>
    <x v="0"/>
    <x v="0"/>
    <x v="0"/>
    <n v="20"/>
    <n v="7"/>
    <n v="58"/>
  </r>
  <r>
    <n v="3368"/>
    <s v="Ana Clara Barreto"/>
    <x v="2"/>
    <d v="2024-07-12T00:00:00"/>
    <x v="0"/>
    <n v="10"/>
    <x v="1"/>
    <x v="1"/>
    <x v="1"/>
    <x v="0"/>
    <n v="20"/>
    <n v="10"/>
    <n v="20"/>
  </r>
  <r>
    <n v="3369"/>
    <s v="Bruno Henrique"/>
    <x v="1"/>
    <d v="2024-07-13T00:00:00"/>
    <x v="1"/>
    <n v="5"/>
    <x v="2"/>
    <x v="1"/>
    <x v="1"/>
    <x v="1"/>
    <n v="0"/>
    <n v="1"/>
    <n v="4"/>
  </r>
  <r>
    <n v="3370"/>
    <s v="Carlos Eduardo"/>
    <x v="0"/>
    <d v="2024-07-14T00:00:00"/>
    <x v="0"/>
    <n v="15"/>
    <x v="0"/>
    <x v="0"/>
    <x v="0"/>
    <x v="0"/>
    <n v="20"/>
    <n v="15"/>
    <n v="50"/>
  </r>
  <r>
    <n v="3371"/>
    <s v="Débora Lima"/>
    <x v="2"/>
    <d v="2024-07-15T00:00:00"/>
    <x v="1"/>
    <n v="10"/>
    <x v="0"/>
    <x v="1"/>
    <x v="1"/>
    <x v="0"/>
    <n v="20"/>
    <n v="5"/>
    <n v="25"/>
  </r>
  <r>
    <n v="3372"/>
    <s v="Elisa Neves"/>
    <x v="1"/>
    <d v="2024-07-16T00:00:00"/>
    <x v="0"/>
    <n v="5"/>
    <x v="1"/>
    <x v="1"/>
    <x v="1"/>
    <x v="1"/>
    <n v="0"/>
    <n v="0"/>
    <n v="5"/>
  </r>
  <r>
    <n v="3373"/>
    <s v="Fabiano Gomes"/>
    <x v="0"/>
    <d v="2024-07-17T00:00:00"/>
    <x v="1"/>
    <n v="15"/>
    <x v="2"/>
    <x v="0"/>
    <x v="0"/>
    <x v="0"/>
    <n v="20"/>
    <n v="20"/>
    <n v="45"/>
  </r>
  <r>
    <n v="3374"/>
    <s v="Gisele Oliveira"/>
    <x v="2"/>
    <d v="2024-07-18T00:00:00"/>
    <x v="0"/>
    <n v="10"/>
    <x v="2"/>
    <x v="1"/>
    <x v="1"/>
    <x v="0"/>
    <n v="20"/>
    <n v="12"/>
    <n v="18"/>
  </r>
  <r>
    <n v="3375"/>
    <s v="Héctor Silva"/>
    <x v="1"/>
    <d v="2024-07-19T00:00:00"/>
    <x v="1"/>
    <n v="5"/>
    <x v="0"/>
    <x v="1"/>
    <x v="1"/>
    <x v="1"/>
    <n v="0"/>
    <n v="2"/>
    <n v="3"/>
  </r>
  <r>
    <n v="3376"/>
    <s v="Igor Martins"/>
    <x v="0"/>
    <d v="2024-07-20T00:00:00"/>
    <x v="0"/>
    <n v="15"/>
    <x v="1"/>
    <x v="0"/>
    <x v="0"/>
    <x v="0"/>
    <n v="20"/>
    <n v="5"/>
    <n v="60"/>
  </r>
  <r>
    <n v="3377"/>
    <s v="Joana Figueiredo"/>
    <x v="2"/>
    <d v="2024-07-21T00:00:00"/>
    <x v="1"/>
    <n v="10"/>
    <x v="0"/>
    <x v="1"/>
    <x v="1"/>
    <x v="0"/>
    <n v="20"/>
    <n v="10"/>
    <n v="20"/>
  </r>
  <r>
    <n v="3378"/>
    <s v="Kleber Machado"/>
    <x v="1"/>
    <d v="2024-07-22T00:00:00"/>
    <x v="0"/>
    <n v="5"/>
    <x v="2"/>
    <x v="1"/>
    <x v="1"/>
    <x v="1"/>
    <n v="0"/>
    <n v="0"/>
    <n v="5"/>
  </r>
  <r>
    <n v="3379"/>
    <s v="Luciana Santos"/>
    <x v="0"/>
    <d v="2024-07-23T00:00:00"/>
    <x v="1"/>
    <n v="15"/>
    <x v="0"/>
    <x v="0"/>
    <x v="0"/>
    <x v="0"/>
    <n v="20"/>
    <n v="3"/>
    <n v="62"/>
  </r>
  <r>
    <n v="3380"/>
    <s v="Marcos Teixeira"/>
    <x v="2"/>
    <d v="2024-07-24T00:00:00"/>
    <x v="0"/>
    <n v="10"/>
    <x v="1"/>
    <x v="1"/>
    <x v="1"/>
    <x v="0"/>
    <n v="20"/>
    <n v="15"/>
    <n v="15"/>
  </r>
  <r>
    <n v="3381"/>
    <s v="Natalia Costa"/>
    <x v="1"/>
    <d v="2024-07-25T00:00:00"/>
    <x v="1"/>
    <n v="5"/>
    <x v="0"/>
    <x v="1"/>
    <x v="1"/>
    <x v="1"/>
    <n v="0"/>
    <n v="1"/>
    <n v="4"/>
  </r>
  <r>
    <n v="3382"/>
    <s v="Oscar Ribeiro"/>
    <x v="0"/>
    <d v="2024-07-26T00:00:00"/>
    <x v="0"/>
    <n v="15"/>
    <x v="2"/>
    <x v="0"/>
    <x v="0"/>
    <x v="0"/>
    <n v="20"/>
    <n v="7"/>
    <n v="58"/>
  </r>
  <r>
    <n v="3383"/>
    <s v="Patricia Almeida"/>
    <x v="2"/>
    <d v="2024-07-27T00:00:00"/>
    <x v="1"/>
    <n v="10"/>
    <x v="0"/>
    <x v="1"/>
    <x v="1"/>
    <x v="0"/>
    <n v="20"/>
    <n v="10"/>
    <n v="20"/>
  </r>
  <r>
    <n v="3384"/>
    <s v="Quirino Junior"/>
    <x v="1"/>
    <d v="2024-07-28T00:00:00"/>
    <x v="0"/>
    <n v="5"/>
    <x v="1"/>
    <x v="1"/>
    <x v="1"/>
    <x v="1"/>
    <n v="0"/>
    <n v="0"/>
    <n v="5"/>
  </r>
  <r>
    <n v="3385"/>
    <s v="Renata Machado"/>
    <x v="0"/>
    <d v="2024-07-29T00:00:00"/>
    <x v="1"/>
    <n v="15"/>
    <x v="0"/>
    <x v="0"/>
    <x v="0"/>
    <x v="0"/>
    <n v="20"/>
    <n v="20"/>
    <n v="45"/>
  </r>
  <r>
    <n v="3386"/>
    <s v="Sônia Alves"/>
    <x v="2"/>
    <d v="2024-07-30T00:00:00"/>
    <x v="0"/>
    <n v="10"/>
    <x v="2"/>
    <x v="1"/>
    <x v="1"/>
    <x v="0"/>
    <n v="20"/>
    <n v="15"/>
    <n v="15"/>
  </r>
  <r>
    <n v="3387"/>
    <s v="Tiago Nunes"/>
    <x v="1"/>
    <d v="2024-07-31T00:00:00"/>
    <x v="1"/>
    <n v="5"/>
    <x v="0"/>
    <x v="1"/>
    <x v="1"/>
    <x v="1"/>
    <n v="0"/>
    <n v="1"/>
    <n v="4"/>
  </r>
  <r>
    <n v="3388"/>
    <s v="Ulysses Pereira"/>
    <x v="0"/>
    <d v="2024-08-01T00:00:00"/>
    <x v="0"/>
    <n v="15"/>
    <x v="1"/>
    <x v="0"/>
    <x v="0"/>
    <x v="0"/>
    <n v="20"/>
    <n v="3"/>
    <n v="62"/>
  </r>
  <r>
    <n v="3389"/>
    <s v="Vanessa Lima"/>
    <x v="2"/>
    <d v="2024-08-02T00:00:00"/>
    <x v="1"/>
    <n v="10"/>
    <x v="0"/>
    <x v="1"/>
    <x v="1"/>
    <x v="0"/>
    <n v="20"/>
    <n v="10"/>
    <n v="20"/>
  </r>
  <r>
    <n v="3390"/>
    <s v="Wagner Santos"/>
    <x v="1"/>
    <d v="2024-08-03T00:00:00"/>
    <x v="0"/>
    <n v="5"/>
    <x v="2"/>
    <x v="1"/>
    <x v="1"/>
    <x v="1"/>
    <n v="0"/>
    <n v="0"/>
    <n v="5"/>
  </r>
  <r>
    <n v="3391"/>
    <s v="Xuxa Meneghel"/>
    <x v="0"/>
    <d v="2024-08-04T00:00:00"/>
    <x v="1"/>
    <n v="15"/>
    <x v="0"/>
    <x v="0"/>
    <x v="0"/>
    <x v="0"/>
    <n v="20"/>
    <n v="15"/>
    <n v="50"/>
  </r>
  <r>
    <n v="3392"/>
    <s v="Yasmin Silva"/>
    <x v="2"/>
    <d v="2024-08-05T00:00:00"/>
    <x v="0"/>
    <n v="10"/>
    <x v="1"/>
    <x v="1"/>
    <x v="1"/>
    <x v="0"/>
    <n v="20"/>
    <n v="15"/>
    <n v="15"/>
  </r>
  <r>
    <n v="3393"/>
    <s v="Zacarias de Souza"/>
    <x v="1"/>
    <d v="2024-08-06T00:00:00"/>
    <x v="1"/>
    <n v="5"/>
    <x v="0"/>
    <x v="1"/>
    <x v="1"/>
    <x v="1"/>
    <n v="0"/>
    <n v="1"/>
    <n v="4"/>
  </r>
  <r>
    <n v="3394"/>
    <s v="André Lima"/>
    <x v="0"/>
    <d v="2024-08-07T00:00:00"/>
    <x v="0"/>
    <n v="15"/>
    <x v="2"/>
    <x v="0"/>
    <x v="0"/>
    <x v="0"/>
    <n v="20"/>
    <n v="7"/>
    <n v="58"/>
  </r>
  <r>
    <n v="3395"/>
    <s v="Bianca Freitas"/>
    <x v="2"/>
    <d v="2024-08-08T00:00:00"/>
    <x v="1"/>
    <n v="10"/>
    <x v="0"/>
    <x v="1"/>
    <x v="1"/>
    <x v="0"/>
    <n v="20"/>
    <n v="10"/>
    <n v="20"/>
  </r>
  <r>
    <n v="3396"/>
    <s v="Caio Mendes"/>
    <x v="1"/>
    <d v="2024-08-09T00:00:00"/>
    <x v="0"/>
    <n v="5"/>
    <x v="1"/>
    <x v="1"/>
    <x v="1"/>
    <x v="1"/>
    <n v="0"/>
    <n v="0"/>
    <n v="5"/>
  </r>
  <r>
    <n v="3397"/>
    <s v="Daniela Moura"/>
    <x v="0"/>
    <d v="2024-08-10T00:00:00"/>
    <x v="1"/>
    <n v="15"/>
    <x v="0"/>
    <x v="0"/>
    <x v="0"/>
    <x v="0"/>
    <n v="20"/>
    <n v="20"/>
    <n v="45"/>
  </r>
  <r>
    <n v="3398"/>
    <s v="Eduardo Costa"/>
    <x v="2"/>
    <d v="2024-08-11T00:00:00"/>
    <x v="0"/>
    <n v="10"/>
    <x v="2"/>
    <x v="1"/>
    <x v="1"/>
    <x v="0"/>
    <n v="20"/>
    <n v="15"/>
    <n v="15"/>
  </r>
  <r>
    <n v="3399"/>
    <s v="Fernanda Gomes"/>
    <x v="1"/>
    <d v="2024-08-12T00:00:00"/>
    <x v="1"/>
    <n v="5"/>
    <x v="0"/>
    <x v="1"/>
    <x v="1"/>
    <x v="1"/>
    <n v="0"/>
    <n v="1"/>
    <n v="4"/>
  </r>
  <r>
    <n v="3400"/>
    <s v="Guilherme Souza"/>
    <x v="0"/>
    <d v="2024-08-13T00:00:00"/>
    <x v="0"/>
    <n v="15"/>
    <x v="1"/>
    <x v="0"/>
    <x v="0"/>
    <x v="0"/>
    <n v="20"/>
    <n v="5"/>
    <n v="60"/>
  </r>
  <r>
    <n v="3401"/>
    <s v="Helena Ribeiro"/>
    <x v="2"/>
    <d v="2024-08-14T00:00:00"/>
    <x v="1"/>
    <n v="10"/>
    <x v="0"/>
    <x v="1"/>
    <x v="1"/>
    <x v="0"/>
    <n v="20"/>
    <n v="10"/>
    <n v="20"/>
  </r>
  <r>
    <n v="3402"/>
    <s v="Igor Santos"/>
    <x v="1"/>
    <d v="2024-08-15T00:00:00"/>
    <x v="0"/>
    <n v="5"/>
    <x v="2"/>
    <x v="1"/>
    <x v="1"/>
    <x v="1"/>
    <n v="0"/>
    <n v="0"/>
    <n v="5"/>
  </r>
  <r>
    <n v="3403"/>
    <s v="João Carvalho"/>
    <x v="0"/>
    <d v="2024-08-16T00:00:00"/>
    <x v="1"/>
    <n v="15"/>
    <x v="0"/>
    <x v="0"/>
    <x v="0"/>
    <x v="0"/>
    <n v="20"/>
    <n v="3"/>
    <n v="62"/>
  </r>
  <r>
    <n v="3404"/>
    <s v="Klara Fagundes"/>
    <x v="2"/>
    <d v="2024-08-17T00:00:00"/>
    <x v="0"/>
    <n v="10"/>
    <x v="1"/>
    <x v="1"/>
    <x v="1"/>
    <x v="0"/>
    <n v="20"/>
    <n v="15"/>
    <n v="15"/>
  </r>
  <r>
    <n v="3405"/>
    <s v="Lúcia Mendonça"/>
    <x v="1"/>
    <d v="2024-08-18T00:00:00"/>
    <x v="1"/>
    <n v="5"/>
    <x v="0"/>
    <x v="1"/>
    <x v="1"/>
    <x v="1"/>
    <n v="0"/>
    <n v="1"/>
    <n v="4"/>
  </r>
  <r>
    <n v="3406"/>
    <s v="Marcelo Novaes"/>
    <x v="1"/>
    <d v="2024-08-19T00:00:00"/>
    <x v="0"/>
    <n v="5"/>
    <x v="0"/>
    <x v="1"/>
    <x v="1"/>
    <x v="1"/>
    <n v="0"/>
    <n v="0"/>
    <n v="5"/>
  </r>
  <r>
    <n v="3407"/>
    <s v="Nina Pacheco"/>
    <x v="0"/>
    <d v="2024-08-20T00:00:00"/>
    <x v="1"/>
    <n v="15"/>
    <x v="2"/>
    <x v="0"/>
    <x v="0"/>
    <x v="0"/>
    <n v="20"/>
    <n v="7"/>
    <n v="58"/>
  </r>
  <r>
    <n v="3408"/>
    <s v="Olívia Rios"/>
    <x v="2"/>
    <d v="2024-08-21T00:00:00"/>
    <x v="0"/>
    <n v="10"/>
    <x v="1"/>
    <x v="1"/>
    <x v="1"/>
    <x v="0"/>
    <n v="20"/>
    <n v="10"/>
    <n v="20"/>
  </r>
  <r>
    <n v="3409"/>
    <s v="Paulo Quintana"/>
    <x v="1"/>
    <d v="2024-08-22T00:00:00"/>
    <x v="1"/>
    <n v="5"/>
    <x v="2"/>
    <x v="1"/>
    <x v="1"/>
    <x v="1"/>
    <n v="0"/>
    <n v="1"/>
    <n v="4"/>
  </r>
  <r>
    <n v="3410"/>
    <s v="Raquel Domingos"/>
    <x v="0"/>
    <d v="2024-08-23T00:00:00"/>
    <x v="0"/>
    <n v="15"/>
    <x v="0"/>
    <x v="0"/>
    <x v="0"/>
    <x v="0"/>
    <n v="20"/>
    <n v="15"/>
    <n v="50"/>
  </r>
  <r>
    <n v="3411"/>
    <s v="Samuel Viana"/>
    <x v="2"/>
    <d v="2024-08-24T00:00:00"/>
    <x v="1"/>
    <n v="10"/>
    <x v="0"/>
    <x v="1"/>
    <x v="1"/>
    <x v="0"/>
    <n v="20"/>
    <n v="5"/>
    <n v="25"/>
  </r>
  <r>
    <n v="3412"/>
    <s v="Tatiane Rocha"/>
    <x v="1"/>
    <d v="2024-08-25T00:00:00"/>
    <x v="0"/>
    <n v="5"/>
    <x v="1"/>
    <x v="1"/>
    <x v="1"/>
    <x v="1"/>
    <n v="0"/>
    <n v="0"/>
    <n v="5"/>
  </r>
  <r>
    <n v="3413"/>
    <s v="Ulysses Farias"/>
    <x v="0"/>
    <d v="2024-08-26T00:00:00"/>
    <x v="1"/>
    <n v="15"/>
    <x v="2"/>
    <x v="0"/>
    <x v="0"/>
    <x v="0"/>
    <n v="20"/>
    <n v="20"/>
    <n v="45"/>
  </r>
  <r>
    <n v="3414"/>
    <s v="Vanessa Moreira"/>
    <x v="2"/>
    <d v="2024-08-27T00:00:00"/>
    <x v="0"/>
    <n v="10"/>
    <x v="2"/>
    <x v="1"/>
    <x v="1"/>
    <x v="0"/>
    <n v="20"/>
    <n v="12"/>
    <n v="18"/>
  </r>
  <r>
    <n v="3415"/>
    <s v="William Carvalho"/>
    <x v="1"/>
    <d v="2024-08-28T00:00:00"/>
    <x v="1"/>
    <n v="5"/>
    <x v="0"/>
    <x v="1"/>
    <x v="1"/>
    <x v="1"/>
    <n v="0"/>
    <n v="2"/>
    <n v="3"/>
  </r>
  <r>
    <n v="3416"/>
    <s v="Ximena Barros"/>
    <x v="0"/>
    <d v="2024-08-29T00:00:00"/>
    <x v="0"/>
    <n v="15"/>
    <x v="1"/>
    <x v="0"/>
    <x v="0"/>
    <x v="0"/>
    <n v="20"/>
    <n v="5"/>
    <n v="60"/>
  </r>
  <r>
    <n v="3417"/>
    <s v="Yara Machado"/>
    <x v="2"/>
    <d v="2024-08-30T00:00:00"/>
    <x v="1"/>
    <n v="10"/>
    <x v="0"/>
    <x v="1"/>
    <x v="1"/>
    <x v="0"/>
    <n v="20"/>
    <n v="10"/>
    <n v="20"/>
  </r>
  <r>
    <n v="3418"/>
    <s v="Zacarias Costa"/>
    <x v="1"/>
    <d v="2024-08-31T00:00:00"/>
    <x v="0"/>
    <n v="5"/>
    <x v="2"/>
    <x v="1"/>
    <x v="1"/>
    <x v="1"/>
    <n v="0"/>
    <n v="0"/>
    <n v="5"/>
  </r>
  <r>
    <n v="3419"/>
    <s v="André Lopes"/>
    <x v="0"/>
    <d v="2024-09-01T00:00:00"/>
    <x v="1"/>
    <n v="15"/>
    <x v="0"/>
    <x v="0"/>
    <x v="0"/>
    <x v="0"/>
    <n v="20"/>
    <n v="3"/>
    <n v="62"/>
  </r>
  <r>
    <n v="3420"/>
    <s v="Beatriz Souza"/>
    <x v="2"/>
    <d v="2024-09-02T00:00:00"/>
    <x v="0"/>
    <n v="10"/>
    <x v="1"/>
    <x v="1"/>
    <x v="1"/>
    <x v="0"/>
    <n v="20"/>
    <n v="15"/>
    <n v="15"/>
  </r>
  <r>
    <n v="3421"/>
    <s v="Caio Pereira"/>
    <x v="1"/>
    <d v="2024-09-03T00:00:00"/>
    <x v="1"/>
    <n v="5"/>
    <x v="0"/>
    <x v="1"/>
    <x v="1"/>
    <x v="1"/>
    <n v="0"/>
    <n v="1"/>
    <n v="4"/>
  </r>
  <r>
    <n v="3422"/>
    <s v="Daniela Araújo"/>
    <x v="0"/>
    <d v="2024-09-04T00:00:00"/>
    <x v="0"/>
    <n v="15"/>
    <x v="2"/>
    <x v="0"/>
    <x v="0"/>
    <x v="0"/>
    <n v="20"/>
    <n v="7"/>
    <n v="58"/>
  </r>
  <r>
    <n v="3423"/>
    <s v="Eduardo Santos"/>
    <x v="2"/>
    <d v="2024-09-05T00:00:00"/>
    <x v="1"/>
    <n v="10"/>
    <x v="0"/>
    <x v="1"/>
    <x v="1"/>
    <x v="0"/>
    <n v="20"/>
    <n v="10"/>
    <n v="20"/>
  </r>
  <r>
    <n v="3424"/>
    <s v="Fernanda Lima"/>
    <x v="1"/>
    <d v="2024-09-06T00:00:00"/>
    <x v="0"/>
    <n v="5"/>
    <x v="1"/>
    <x v="1"/>
    <x v="1"/>
    <x v="1"/>
    <n v="0"/>
    <n v="0"/>
    <n v="5"/>
  </r>
  <r>
    <n v="3425"/>
    <s v="Gabriel Teixeira"/>
    <x v="0"/>
    <d v="2024-09-07T00:00:00"/>
    <x v="1"/>
    <n v="15"/>
    <x v="0"/>
    <x v="0"/>
    <x v="0"/>
    <x v="0"/>
    <n v="20"/>
    <n v="20"/>
    <n v="45"/>
  </r>
  <r>
    <n v="3426"/>
    <s v="Helena Ribeiro"/>
    <x v="2"/>
    <d v="2024-09-08T00:00:00"/>
    <x v="0"/>
    <n v="10"/>
    <x v="2"/>
    <x v="1"/>
    <x v="1"/>
    <x v="0"/>
    <n v="20"/>
    <n v="15"/>
    <n v="15"/>
  </r>
  <r>
    <n v="3427"/>
    <s v="Igor Mendes"/>
    <x v="1"/>
    <d v="2024-09-09T00:00:00"/>
    <x v="1"/>
    <n v="5"/>
    <x v="0"/>
    <x v="1"/>
    <x v="1"/>
    <x v="1"/>
    <n v="0"/>
    <n v="1"/>
    <n v="4"/>
  </r>
  <r>
    <n v="3428"/>
    <s v="Joana Silveira"/>
    <x v="0"/>
    <d v="2024-09-10T00:00:00"/>
    <x v="0"/>
    <n v="15"/>
    <x v="1"/>
    <x v="0"/>
    <x v="0"/>
    <x v="0"/>
    <n v="20"/>
    <n v="3"/>
    <n v="62"/>
  </r>
  <r>
    <n v="3429"/>
    <s v="Lucas Martins"/>
    <x v="2"/>
    <d v="2024-09-11T00:00:00"/>
    <x v="1"/>
    <n v="10"/>
    <x v="0"/>
    <x v="1"/>
    <x v="1"/>
    <x v="0"/>
    <n v="20"/>
    <n v="10"/>
    <n v="20"/>
  </r>
  <r>
    <n v="3430"/>
    <s v="Marcela Gouveia"/>
    <x v="1"/>
    <d v="2024-09-12T00:00:00"/>
    <x v="0"/>
    <n v="5"/>
    <x v="2"/>
    <x v="1"/>
    <x v="1"/>
    <x v="1"/>
    <n v="0"/>
    <n v="0"/>
    <n v="5"/>
  </r>
  <r>
    <n v="3431"/>
    <s v="Nicolas Borges"/>
    <x v="0"/>
    <d v="2024-09-13T00:00:00"/>
    <x v="1"/>
    <n v="15"/>
    <x v="0"/>
    <x v="0"/>
    <x v="0"/>
    <x v="0"/>
    <n v="20"/>
    <n v="15"/>
    <n v="50"/>
  </r>
  <r>
    <n v="3432"/>
    <s v="Olivia Freitas"/>
    <x v="2"/>
    <d v="2024-09-14T00:00:00"/>
    <x v="0"/>
    <n v="10"/>
    <x v="1"/>
    <x v="1"/>
    <x v="1"/>
    <x v="0"/>
    <n v="20"/>
    <n v="15"/>
    <n v="15"/>
  </r>
  <r>
    <n v="3433"/>
    <s v="Paulo Nogueira"/>
    <x v="1"/>
    <d v="2024-09-15T00:00:00"/>
    <x v="1"/>
    <n v="5"/>
    <x v="0"/>
    <x v="1"/>
    <x v="1"/>
    <x v="1"/>
    <n v="0"/>
    <n v="1"/>
    <n v="4"/>
  </r>
  <r>
    <n v="3434"/>
    <s v="Raquel Andrade"/>
    <x v="0"/>
    <d v="2024-09-16T00:00:00"/>
    <x v="0"/>
    <n v="15"/>
    <x v="2"/>
    <x v="0"/>
    <x v="0"/>
    <x v="0"/>
    <n v="20"/>
    <n v="7"/>
    <n v="58"/>
  </r>
  <r>
    <n v="3435"/>
    <s v="Sônia Carvalho"/>
    <x v="2"/>
    <d v="2024-09-17T00:00:00"/>
    <x v="1"/>
    <n v="10"/>
    <x v="0"/>
    <x v="1"/>
    <x v="1"/>
    <x v="0"/>
    <n v="20"/>
    <n v="10"/>
    <n v="20"/>
  </r>
  <r>
    <n v="3436"/>
    <s v="Tiago Rodrigues"/>
    <x v="1"/>
    <d v="2024-09-18T00:00:00"/>
    <x v="0"/>
    <n v="5"/>
    <x v="0"/>
    <x v="1"/>
    <x v="1"/>
    <x v="1"/>
    <n v="0"/>
    <n v="0"/>
    <n v="5"/>
  </r>
  <r>
    <n v="3437"/>
    <s v="Ursula Monteiro"/>
    <x v="0"/>
    <d v="2024-09-19T00:00:00"/>
    <x v="1"/>
    <n v="15"/>
    <x v="2"/>
    <x v="0"/>
    <x v="0"/>
    <x v="0"/>
    <n v="20"/>
    <n v="7"/>
    <n v="58"/>
  </r>
  <r>
    <n v="3438"/>
    <s v="Vanessa Pereira"/>
    <x v="2"/>
    <d v="2024-09-20T00:00:00"/>
    <x v="0"/>
    <n v="10"/>
    <x v="1"/>
    <x v="1"/>
    <x v="1"/>
    <x v="0"/>
    <n v="20"/>
    <n v="10"/>
    <n v="20"/>
  </r>
  <r>
    <n v="3439"/>
    <s v="Walter Silva"/>
    <x v="1"/>
    <d v="2024-09-21T00:00:00"/>
    <x v="1"/>
    <n v="5"/>
    <x v="2"/>
    <x v="1"/>
    <x v="1"/>
    <x v="1"/>
    <n v="0"/>
    <n v="1"/>
    <n v="4"/>
  </r>
  <r>
    <n v="3440"/>
    <s v="Xavier Almeida"/>
    <x v="0"/>
    <d v="2024-09-22T00:00:00"/>
    <x v="0"/>
    <n v="15"/>
    <x v="0"/>
    <x v="0"/>
    <x v="0"/>
    <x v="0"/>
    <n v="20"/>
    <n v="15"/>
    <n v="50"/>
  </r>
  <r>
    <n v="3441"/>
    <s v="Yasmine Correia"/>
    <x v="2"/>
    <d v="2024-09-23T00:00:00"/>
    <x v="1"/>
    <n v="10"/>
    <x v="0"/>
    <x v="1"/>
    <x v="1"/>
    <x v="0"/>
    <n v="20"/>
    <n v="5"/>
    <n v="25"/>
  </r>
  <r>
    <n v="3442"/>
    <s v="Zacarias Almeida"/>
    <x v="1"/>
    <d v="2024-09-24T00:00:00"/>
    <x v="0"/>
    <n v="5"/>
    <x v="1"/>
    <x v="1"/>
    <x v="1"/>
    <x v="1"/>
    <n v="0"/>
    <n v="0"/>
    <n v="5"/>
  </r>
  <r>
    <n v="3443"/>
    <s v="Amanda Costa"/>
    <x v="0"/>
    <d v="2024-09-25T00:00:00"/>
    <x v="1"/>
    <n v="15"/>
    <x v="2"/>
    <x v="0"/>
    <x v="0"/>
    <x v="0"/>
    <n v="20"/>
    <n v="20"/>
    <n v="45"/>
  </r>
  <r>
    <n v="3444"/>
    <s v="Bruno Ferreira"/>
    <x v="2"/>
    <d v="2024-09-26T00:00:00"/>
    <x v="0"/>
    <n v="10"/>
    <x v="2"/>
    <x v="1"/>
    <x v="1"/>
    <x v="0"/>
    <n v="20"/>
    <n v="12"/>
    <n v="18"/>
  </r>
  <r>
    <n v="3445"/>
    <s v="Carla Dias"/>
    <x v="1"/>
    <d v="2024-09-27T00:00:00"/>
    <x v="1"/>
    <n v="5"/>
    <x v="0"/>
    <x v="1"/>
    <x v="1"/>
    <x v="1"/>
    <n v="0"/>
    <n v="2"/>
    <n v="3"/>
  </r>
  <r>
    <n v="3446"/>
    <s v="Diogo Martins"/>
    <x v="0"/>
    <d v="2024-09-28T00:00:00"/>
    <x v="0"/>
    <n v="15"/>
    <x v="1"/>
    <x v="0"/>
    <x v="0"/>
    <x v="0"/>
    <n v="20"/>
    <n v="5"/>
    <n v="60"/>
  </r>
  <r>
    <n v="3447"/>
    <s v="Elisa Campos"/>
    <x v="2"/>
    <d v="2024-09-29T00:00:00"/>
    <x v="1"/>
    <n v="10"/>
    <x v="0"/>
    <x v="1"/>
    <x v="1"/>
    <x v="0"/>
    <n v="20"/>
    <n v="10"/>
    <n v="20"/>
  </r>
  <r>
    <n v="3448"/>
    <s v="Fabiana Lima"/>
    <x v="1"/>
    <d v="2024-09-30T00:00:00"/>
    <x v="0"/>
    <n v="5"/>
    <x v="2"/>
    <x v="1"/>
    <x v="1"/>
    <x v="1"/>
    <n v="0"/>
    <n v="0"/>
    <n v="5"/>
  </r>
  <r>
    <n v="3449"/>
    <s v="Gabriel Santos"/>
    <x v="0"/>
    <d v="2024-10-01T00:00:00"/>
    <x v="1"/>
    <n v="15"/>
    <x v="0"/>
    <x v="0"/>
    <x v="0"/>
    <x v="0"/>
    <n v="20"/>
    <n v="3"/>
    <n v="62"/>
  </r>
  <r>
    <n v="3450"/>
    <s v="Helena Ferreira"/>
    <x v="2"/>
    <d v="2024-10-02T00:00:00"/>
    <x v="0"/>
    <n v="10"/>
    <x v="1"/>
    <x v="1"/>
    <x v="1"/>
    <x v="0"/>
    <n v="20"/>
    <n v="15"/>
    <n v="15"/>
  </r>
  <r>
    <n v="3451"/>
    <s v="Ígor Nunes"/>
    <x v="1"/>
    <d v="2024-10-03T00:00:00"/>
    <x v="1"/>
    <n v="5"/>
    <x v="0"/>
    <x v="1"/>
    <x v="1"/>
    <x v="1"/>
    <n v="0"/>
    <n v="1"/>
    <n v="4"/>
  </r>
  <r>
    <n v="3452"/>
    <s v="Joana Silveira"/>
    <x v="0"/>
    <d v="2024-10-04T00:00:00"/>
    <x v="0"/>
    <n v="15"/>
    <x v="2"/>
    <x v="0"/>
    <x v="0"/>
    <x v="0"/>
    <n v="20"/>
    <n v="7"/>
    <n v="58"/>
  </r>
  <r>
    <n v="3453"/>
    <s v="Kléber Oliveira"/>
    <x v="2"/>
    <d v="2024-10-05T00:00:00"/>
    <x v="1"/>
    <n v="10"/>
    <x v="0"/>
    <x v="1"/>
    <x v="1"/>
    <x v="0"/>
    <n v="20"/>
    <n v="10"/>
    <n v="20"/>
  </r>
  <r>
    <n v="3454"/>
    <s v="Luciana Morais"/>
    <x v="1"/>
    <d v="2024-10-06T00:00:00"/>
    <x v="0"/>
    <n v="5"/>
    <x v="1"/>
    <x v="1"/>
    <x v="1"/>
    <x v="1"/>
    <n v="0"/>
    <n v="0"/>
    <n v="5"/>
  </r>
  <r>
    <n v="3455"/>
    <s v="Marcos Vinícius"/>
    <x v="0"/>
    <d v="2024-10-07T00:00:00"/>
    <x v="1"/>
    <n v="15"/>
    <x v="0"/>
    <x v="0"/>
    <x v="0"/>
    <x v="0"/>
    <n v="20"/>
    <n v="20"/>
    <n v="45"/>
  </r>
  <r>
    <n v="3456"/>
    <s v="Natália Barros"/>
    <x v="2"/>
    <d v="2024-10-08T00:00:00"/>
    <x v="0"/>
    <n v="10"/>
    <x v="2"/>
    <x v="1"/>
    <x v="1"/>
    <x v="0"/>
    <n v="20"/>
    <n v="15"/>
    <n v="15"/>
  </r>
  <r>
    <n v="3457"/>
    <s v="Oscar Sampaio"/>
    <x v="1"/>
    <d v="2024-10-09T00:00:00"/>
    <x v="1"/>
    <n v="5"/>
    <x v="0"/>
    <x v="1"/>
    <x v="1"/>
    <x v="1"/>
    <n v="0"/>
    <n v="1"/>
    <n v="4"/>
  </r>
  <r>
    <n v="3458"/>
    <s v="Patrícia Leite"/>
    <x v="0"/>
    <d v="2024-10-10T00:00:00"/>
    <x v="0"/>
    <n v="15"/>
    <x v="1"/>
    <x v="0"/>
    <x v="0"/>
    <x v="0"/>
    <n v="20"/>
    <n v="3"/>
    <n v="62"/>
  </r>
  <r>
    <n v="3459"/>
    <s v="Quênia Rocha"/>
    <x v="2"/>
    <d v="2024-10-11T00:00:00"/>
    <x v="1"/>
    <n v="10"/>
    <x v="0"/>
    <x v="1"/>
    <x v="1"/>
    <x v="0"/>
    <n v="20"/>
    <n v="10"/>
    <n v="20"/>
  </r>
  <r>
    <n v="3460"/>
    <s v="Rafael Torres"/>
    <x v="1"/>
    <d v="2024-10-12T00:00:00"/>
    <x v="0"/>
    <n v="5"/>
    <x v="2"/>
    <x v="1"/>
    <x v="1"/>
    <x v="1"/>
    <n v="0"/>
    <n v="0"/>
    <n v="5"/>
  </r>
  <r>
    <n v="3461"/>
    <s v="Sandra Gouveia"/>
    <x v="0"/>
    <d v="2024-10-13T00:00:00"/>
    <x v="1"/>
    <n v="15"/>
    <x v="0"/>
    <x v="0"/>
    <x v="0"/>
    <x v="0"/>
    <n v="20"/>
    <n v="15"/>
    <n v="50"/>
  </r>
  <r>
    <n v="3462"/>
    <s v="Tiago Lacerda"/>
    <x v="2"/>
    <d v="2024-10-14T00:00:00"/>
    <x v="0"/>
    <n v="10"/>
    <x v="1"/>
    <x v="1"/>
    <x v="1"/>
    <x v="0"/>
    <n v="20"/>
    <n v="15"/>
    <n v="15"/>
  </r>
  <r>
    <n v="3463"/>
    <s v="Ursula Fonseca"/>
    <x v="1"/>
    <d v="2024-10-15T00:00:00"/>
    <x v="1"/>
    <n v="5"/>
    <x v="0"/>
    <x v="1"/>
    <x v="1"/>
    <x v="1"/>
    <n v="0"/>
    <n v="1"/>
    <n v="4"/>
  </r>
  <r>
    <n v="3464"/>
    <s v="Vanessa Andrade"/>
    <x v="0"/>
    <d v="2024-10-16T00:00:00"/>
    <x v="0"/>
    <n v="15"/>
    <x v="2"/>
    <x v="0"/>
    <x v="0"/>
    <x v="0"/>
    <n v="20"/>
    <n v="7"/>
    <n v="58"/>
  </r>
  <r>
    <n v="3465"/>
    <s v="William Castro"/>
    <x v="2"/>
    <d v="2024-10-17T00:00:00"/>
    <x v="1"/>
    <n v="10"/>
    <x v="0"/>
    <x v="1"/>
    <x v="1"/>
    <x v="0"/>
    <n v="20"/>
    <n v="10"/>
    <n v="20"/>
  </r>
  <r>
    <n v="3466"/>
    <s v="Xavier Monteiro"/>
    <x v="1"/>
    <d v="2024-10-18T00:00:00"/>
    <x v="0"/>
    <n v="5"/>
    <x v="1"/>
    <x v="1"/>
    <x v="1"/>
    <x v="1"/>
    <n v="0"/>
    <n v="0"/>
    <n v="5"/>
  </r>
  <r>
    <n v="3467"/>
    <s v="Yasmin Figueira"/>
    <x v="0"/>
    <d v="2024-10-19T00:00:00"/>
    <x v="1"/>
    <n v="15"/>
    <x v="0"/>
    <x v="0"/>
    <x v="0"/>
    <x v="0"/>
    <n v="20"/>
    <n v="15"/>
    <n v="50"/>
  </r>
  <r>
    <n v="3468"/>
    <s v="Zacarias Mendonça"/>
    <x v="2"/>
    <d v="2024-10-20T00:00:00"/>
    <x v="0"/>
    <n v="10"/>
    <x v="2"/>
    <x v="1"/>
    <x v="1"/>
    <x v="0"/>
    <n v="20"/>
    <n v="12"/>
    <n v="18"/>
  </r>
  <r>
    <n v="3469"/>
    <s v="Amanda Menezes"/>
    <x v="1"/>
    <d v="2024-10-21T00:00:00"/>
    <x v="1"/>
    <n v="5"/>
    <x v="0"/>
    <x v="1"/>
    <x v="1"/>
    <x v="1"/>
    <n v="0"/>
    <n v="2"/>
    <n v="3"/>
  </r>
  <r>
    <n v="3470"/>
    <s v="Bruno Santos"/>
    <x v="0"/>
    <d v="2024-10-22T00:00:00"/>
    <x v="0"/>
    <n v="15"/>
    <x v="1"/>
    <x v="0"/>
    <x v="0"/>
    <x v="0"/>
    <n v="20"/>
    <n v="5"/>
    <n v="60"/>
  </r>
  <r>
    <n v="3471"/>
    <s v="Carla Ferreira"/>
    <x v="2"/>
    <d v="2024-10-23T00:00:00"/>
    <x v="1"/>
    <n v="10"/>
    <x v="0"/>
    <x v="1"/>
    <x v="1"/>
    <x v="0"/>
    <n v="20"/>
    <n v="10"/>
    <n v="20"/>
  </r>
  <r>
    <n v="3472"/>
    <s v="Diogo Alves"/>
    <x v="1"/>
    <d v="2024-10-24T00:00:00"/>
    <x v="0"/>
    <n v="5"/>
    <x v="2"/>
    <x v="1"/>
    <x v="1"/>
    <x v="1"/>
    <n v="0"/>
    <n v="0"/>
    <n v="5"/>
  </r>
  <r>
    <n v="3473"/>
    <s v="Elisa Neves"/>
    <x v="0"/>
    <d v="2024-10-25T00:00:00"/>
    <x v="1"/>
    <n v="15"/>
    <x v="0"/>
    <x v="0"/>
    <x v="0"/>
    <x v="0"/>
    <n v="20"/>
    <n v="3"/>
    <n v="62"/>
  </r>
  <r>
    <n v="3474"/>
    <s v="Fabiano Pires"/>
    <x v="2"/>
    <d v="2024-10-26T00:00:00"/>
    <x v="0"/>
    <n v="10"/>
    <x v="1"/>
    <x v="1"/>
    <x v="1"/>
    <x v="0"/>
    <n v="20"/>
    <n v="15"/>
    <n v="15"/>
  </r>
  <r>
    <n v="3475"/>
    <s v="Giovana Ribeiro"/>
    <x v="1"/>
    <d v="2024-10-27T00:00:00"/>
    <x v="1"/>
    <n v="5"/>
    <x v="0"/>
    <x v="1"/>
    <x v="1"/>
    <x v="1"/>
    <n v="0"/>
    <n v="1"/>
    <n v="4"/>
  </r>
  <r>
    <n v="3476"/>
    <s v="Hélio Costa"/>
    <x v="0"/>
    <d v="2024-10-28T00:00:00"/>
    <x v="0"/>
    <n v="15"/>
    <x v="2"/>
    <x v="0"/>
    <x v="0"/>
    <x v="0"/>
    <n v="20"/>
    <n v="7"/>
    <n v="58"/>
  </r>
  <r>
    <n v="3477"/>
    <s v="Íris Loureiro"/>
    <x v="2"/>
    <d v="2024-10-29T00:00:00"/>
    <x v="1"/>
    <n v="10"/>
    <x v="0"/>
    <x v="1"/>
    <x v="1"/>
    <x v="0"/>
    <n v="20"/>
    <n v="10"/>
    <n v="20"/>
  </r>
  <r>
    <n v="3478"/>
    <s v="João Pereira"/>
    <x v="1"/>
    <d v="2024-10-30T00:00:00"/>
    <x v="0"/>
    <n v="5"/>
    <x v="1"/>
    <x v="1"/>
    <x v="1"/>
    <x v="1"/>
    <n v="0"/>
    <n v="0"/>
    <n v="5"/>
  </r>
  <r>
    <n v="3479"/>
    <s v="Klara Silva"/>
    <x v="0"/>
    <d v="2024-10-31T00:00:00"/>
    <x v="1"/>
    <n v="15"/>
    <x v="0"/>
    <x v="0"/>
    <x v="0"/>
    <x v="0"/>
    <n v="20"/>
    <n v="20"/>
    <n v="45"/>
  </r>
  <r>
    <n v="3480"/>
    <s v="Luciana Barros"/>
    <x v="2"/>
    <d v="2024-11-01T00:00:00"/>
    <x v="0"/>
    <n v="10"/>
    <x v="2"/>
    <x v="1"/>
    <x v="1"/>
    <x v="0"/>
    <n v="20"/>
    <n v="15"/>
    <n v="15"/>
  </r>
  <r>
    <n v="3481"/>
    <s v="Marcos Gomes"/>
    <x v="1"/>
    <d v="2024-11-02T00:00:00"/>
    <x v="1"/>
    <n v="5"/>
    <x v="0"/>
    <x v="1"/>
    <x v="1"/>
    <x v="1"/>
    <n v="0"/>
    <n v="1"/>
    <n v="4"/>
  </r>
  <r>
    <n v="3482"/>
    <s v="Natália Soares"/>
    <x v="0"/>
    <d v="2024-11-03T00:00:00"/>
    <x v="0"/>
    <n v="15"/>
    <x v="1"/>
    <x v="0"/>
    <x v="0"/>
    <x v="0"/>
    <n v="20"/>
    <n v="3"/>
    <n v="62"/>
  </r>
  <r>
    <n v="3483"/>
    <s v="Oscar Machado"/>
    <x v="2"/>
    <d v="2024-11-04T00:00:00"/>
    <x v="1"/>
    <n v="10"/>
    <x v="0"/>
    <x v="1"/>
    <x v="1"/>
    <x v="0"/>
    <n v="20"/>
    <n v="10"/>
    <n v="20"/>
  </r>
  <r>
    <n v="3484"/>
    <s v="Patrícia Lima"/>
    <x v="1"/>
    <d v="2024-11-05T00:00:00"/>
    <x v="0"/>
    <n v="5"/>
    <x v="2"/>
    <x v="1"/>
    <x v="1"/>
    <x v="1"/>
    <n v="0"/>
    <n v="0"/>
    <n v="5"/>
  </r>
  <r>
    <n v="3485"/>
    <s v="Quirino Neto"/>
    <x v="0"/>
    <d v="2024-11-06T00:00:00"/>
    <x v="1"/>
    <n v="15"/>
    <x v="0"/>
    <x v="0"/>
    <x v="0"/>
    <x v="0"/>
    <n v="20"/>
    <n v="15"/>
    <n v="50"/>
  </r>
  <r>
    <n v="3486"/>
    <s v="Rafaela Souza"/>
    <x v="1"/>
    <d v="2024-11-07T00:00:00"/>
    <x v="0"/>
    <n v="5"/>
    <x v="0"/>
    <x v="1"/>
    <x v="1"/>
    <x v="1"/>
    <n v="0"/>
    <n v="0"/>
    <n v="5"/>
  </r>
  <r>
    <n v="3487"/>
    <s v="Sandro Almeida"/>
    <x v="0"/>
    <d v="2024-11-08T00:00:00"/>
    <x v="1"/>
    <n v="15"/>
    <x v="2"/>
    <x v="0"/>
    <x v="0"/>
    <x v="0"/>
    <n v="20"/>
    <n v="7"/>
    <n v="58"/>
  </r>
  <r>
    <n v="3488"/>
    <s v="Tânia Ribeiro"/>
    <x v="2"/>
    <d v="2024-11-09T00:00:00"/>
    <x v="0"/>
    <n v="10"/>
    <x v="1"/>
    <x v="1"/>
    <x v="1"/>
    <x v="0"/>
    <n v="20"/>
    <n v="10"/>
    <n v="20"/>
  </r>
  <r>
    <n v="3489"/>
    <s v="Ugo Dias"/>
    <x v="1"/>
    <d v="2024-11-10T00:00:00"/>
    <x v="1"/>
    <n v="5"/>
    <x v="2"/>
    <x v="1"/>
    <x v="1"/>
    <x v="1"/>
    <n v="0"/>
    <n v="1"/>
    <n v="4"/>
  </r>
  <r>
    <n v="3490"/>
    <s v="Valéria Lima"/>
    <x v="0"/>
    <d v="2024-11-11T00:00:00"/>
    <x v="0"/>
    <n v="15"/>
    <x v="0"/>
    <x v="0"/>
    <x v="0"/>
    <x v="0"/>
    <n v="20"/>
    <n v="15"/>
    <n v="50"/>
  </r>
  <r>
    <n v="3491"/>
    <s v="William Fernandes"/>
    <x v="2"/>
    <d v="2024-11-12T00:00:00"/>
    <x v="1"/>
    <n v="10"/>
    <x v="0"/>
    <x v="1"/>
    <x v="1"/>
    <x v="0"/>
    <n v="20"/>
    <n v="5"/>
    <n v="25"/>
  </r>
  <r>
    <n v="3492"/>
    <s v="Xuxa Mendes"/>
    <x v="1"/>
    <d v="2024-11-13T00:00:00"/>
    <x v="0"/>
    <n v="5"/>
    <x v="1"/>
    <x v="1"/>
    <x v="1"/>
    <x v="1"/>
    <n v="0"/>
    <n v="0"/>
    <n v="5"/>
  </r>
  <r>
    <n v="3493"/>
    <s v="Ygor Farias"/>
    <x v="0"/>
    <d v="2024-11-14T00:00:00"/>
    <x v="1"/>
    <n v="15"/>
    <x v="2"/>
    <x v="0"/>
    <x v="0"/>
    <x v="0"/>
    <n v="20"/>
    <n v="20"/>
    <n v="45"/>
  </r>
  <r>
    <n v="3494"/>
    <s v="Zilda Barros"/>
    <x v="2"/>
    <d v="2024-11-15T00:00:00"/>
    <x v="0"/>
    <n v="10"/>
    <x v="2"/>
    <x v="1"/>
    <x v="1"/>
    <x v="0"/>
    <n v="20"/>
    <n v="12"/>
    <n v="18"/>
  </r>
  <r>
    <n v="3495"/>
    <s v="Amanda Santos"/>
    <x v="1"/>
    <d v="2024-11-16T00:00:00"/>
    <x v="1"/>
    <n v="5"/>
    <x v="0"/>
    <x v="1"/>
    <x v="1"/>
    <x v="1"/>
    <n v="0"/>
    <n v="2"/>
    <n v="3"/>
  </r>
  <r>
    <n v="3496"/>
    <s v="Bruno Costa"/>
    <x v="0"/>
    <d v="2024-11-17T00:00:00"/>
    <x v="0"/>
    <n v="15"/>
    <x v="1"/>
    <x v="0"/>
    <x v="0"/>
    <x v="0"/>
    <n v="20"/>
    <n v="5"/>
    <n v="60"/>
  </r>
  <r>
    <n v="3497"/>
    <s v="Carla Rodrigues"/>
    <x v="2"/>
    <d v="2024-11-18T00:00:00"/>
    <x v="1"/>
    <n v="10"/>
    <x v="0"/>
    <x v="1"/>
    <x v="1"/>
    <x v="0"/>
    <n v="20"/>
    <n v="10"/>
    <n v="20"/>
  </r>
  <r>
    <n v="3498"/>
    <s v="Diogo Pereira"/>
    <x v="1"/>
    <d v="2024-11-19T00:00:00"/>
    <x v="0"/>
    <n v="5"/>
    <x v="2"/>
    <x v="1"/>
    <x v="1"/>
    <x v="1"/>
    <n v="0"/>
    <n v="0"/>
    <n v="5"/>
  </r>
  <r>
    <n v="3499"/>
    <s v="Elisa Correia"/>
    <x v="0"/>
    <d v="2024-11-20T00:00:00"/>
    <x v="1"/>
    <n v="15"/>
    <x v="0"/>
    <x v="0"/>
    <x v="0"/>
    <x v="0"/>
    <n v="20"/>
    <n v="3"/>
    <n v="62"/>
  </r>
  <r>
    <n v="3500"/>
    <s v="Fábio Lourenço"/>
    <x v="2"/>
    <d v="2024-11-21T00:00:00"/>
    <x v="0"/>
    <n v="10"/>
    <x v="1"/>
    <x v="1"/>
    <x v="1"/>
    <x v="0"/>
    <n v="20"/>
    <n v="15"/>
    <n v="15"/>
  </r>
  <r>
    <n v="3501"/>
    <s v="Gabriela Neves"/>
    <x v="1"/>
    <d v="2024-11-22T00:00:00"/>
    <x v="1"/>
    <n v="5"/>
    <x v="0"/>
    <x v="1"/>
    <x v="1"/>
    <x v="1"/>
    <n v="0"/>
    <n v="1"/>
    <n v="4"/>
  </r>
  <r>
    <n v="3502"/>
    <s v="Henrique Gonçalves"/>
    <x v="0"/>
    <d v="2024-11-23T00:00:00"/>
    <x v="0"/>
    <n v="15"/>
    <x v="2"/>
    <x v="0"/>
    <x v="0"/>
    <x v="0"/>
    <n v="20"/>
    <n v="7"/>
    <n v="58"/>
  </r>
  <r>
    <n v="3503"/>
    <s v="Íris Santos"/>
    <x v="2"/>
    <d v="2024-11-24T00:00:00"/>
    <x v="1"/>
    <n v="10"/>
    <x v="0"/>
    <x v="1"/>
    <x v="1"/>
    <x v="0"/>
    <n v="20"/>
    <n v="10"/>
    <n v="20"/>
  </r>
  <r>
    <n v="3504"/>
    <s v="João Marcelo Alves"/>
    <x v="1"/>
    <d v="2024-11-25T00:00:00"/>
    <x v="0"/>
    <n v="5"/>
    <x v="1"/>
    <x v="1"/>
    <x v="1"/>
    <x v="1"/>
    <n v="0"/>
    <n v="0"/>
    <n v="5"/>
  </r>
  <r>
    <n v="3505"/>
    <s v="Klara Fonseca"/>
    <x v="0"/>
    <d v="2024-11-26T00:00:00"/>
    <x v="1"/>
    <n v="15"/>
    <x v="0"/>
    <x v="0"/>
    <x v="0"/>
    <x v="0"/>
    <n v="20"/>
    <n v="20"/>
    <n v="45"/>
  </r>
  <r>
    <n v="3506"/>
    <s v="Lucas Mendonça"/>
    <x v="2"/>
    <d v="2024-11-27T00:00:00"/>
    <x v="0"/>
    <n v="10"/>
    <x v="2"/>
    <x v="1"/>
    <x v="1"/>
    <x v="0"/>
    <n v="20"/>
    <n v="15"/>
    <n v="15"/>
  </r>
  <r>
    <n v="3507"/>
    <s v="Marcela Torres"/>
    <x v="1"/>
    <d v="2024-11-28T00:00:00"/>
    <x v="1"/>
    <n v="5"/>
    <x v="0"/>
    <x v="1"/>
    <x v="1"/>
    <x v="1"/>
    <n v="0"/>
    <n v="1"/>
    <n v="4"/>
  </r>
  <r>
    <n v="3508"/>
    <s v="Natália Castro"/>
    <x v="0"/>
    <d v="2024-11-29T00:00:00"/>
    <x v="0"/>
    <n v="15"/>
    <x v="1"/>
    <x v="0"/>
    <x v="0"/>
    <x v="0"/>
    <n v="20"/>
    <n v="3"/>
    <n v="62"/>
  </r>
  <r>
    <n v="3509"/>
    <s v="Oscar Martins"/>
    <x v="2"/>
    <d v="2024-11-30T00:00:00"/>
    <x v="1"/>
    <n v="10"/>
    <x v="0"/>
    <x v="1"/>
    <x v="1"/>
    <x v="0"/>
    <n v="20"/>
    <n v="10"/>
    <n v="20"/>
  </r>
  <r>
    <n v="3510"/>
    <s v="Patrícia Oliveira"/>
    <x v="1"/>
    <d v="2024-12-01T00:00:00"/>
    <x v="0"/>
    <n v="5"/>
    <x v="2"/>
    <x v="1"/>
    <x v="1"/>
    <x v="1"/>
    <n v="0"/>
    <n v="0"/>
    <n v="5"/>
  </r>
  <r>
    <n v="3511"/>
    <s v="Quentin Nogueira"/>
    <x v="0"/>
    <d v="2024-12-02T00:00:00"/>
    <x v="1"/>
    <n v="15"/>
    <x v="0"/>
    <x v="0"/>
    <x v="0"/>
    <x v="0"/>
    <n v="20"/>
    <n v="15"/>
    <n v="50"/>
  </r>
  <r>
    <n v="3512"/>
    <s v="Raquel Silva"/>
    <x v="2"/>
    <d v="2024-12-03T00:00:00"/>
    <x v="0"/>
    <n v="10"/>
    <x v="1"/>
    <x v="1"/>
    <x v="1"/>
    <x v="0"/>
    <n v="20"/>
    <n v="15"/>
    <n v="15"/>
  </r>
  <r>
    <n v="3513"/>
    <s v="Sandro Gomes"/>
    <x v="1"/>
    <d v="2024-12-04T00:00:00"/>
    <x v="1"/>
    <n v="5"/>
    <x v="0"/>
    <x v="1"/>
    <x v="1"/>
    <x v="1"/>
    <n v="0"/>
    <n v="1"/>
    <n v="4"/>
  </r>
  <r>
    <n v="3514"/>
    <s v="Tânia Machado"/>
    <x v="0"/>
    <d v="2024-12-05T00:00:00"/>
    <x v="0"/>
    <n v="15"/>
    <x v="2"/>
    <x v="0"/>
    <x v="0"/>
    <x v="0"/>
    <n v="20"/>
    <n v="7"/>
    <n v="58"/>
  </r>
  <r>
    <n v="3515"/>
    <s v="Ursula Silva"/>
    <x v="2"/>
    <d v="2024-12-06T00:00:00"/>
    <x v="1"/>
    <n v="10"/>
    <x v="0"/>
    <x v="1"/>
    <x v="1"/>
    <x v="0"/>
    <n v="20"/>
    <n v="10"/>
    <n v="20"/>
  </r>
  <r>
    <n v="3516"/>
    <s v="Vanessa Moraes"/>
    <x v="1"/>
    <d v="2024-12-07T00:00:00"/>
    <x v="0"/>
    <n v="5"/>
    <x v="1"/>
    <x v="1"/>
    <x v="1"/>
    <x v="1"/>
    <n v="0"/>
    <n v="0"/>
    <n v="5"/>
  </r>
  <r>
    <n v="3517"/>
    <s v="William Carvalho"/>
    <x v="0"/>
    <d v="2024-12-08T00:00:00"/>
    <x v="1"/>
    <n v="15"/>
    <x v="0"/>
    <x v="0"/>
    <x v="0"/>
    <x v="0"/>
    <n v="20"/>
    <n v="20"/>
    <n v="45"/>
  </r>
  <r>
    <n v="3518"/>
    <s v="Xavier Reis"/>
    <x v="2"/>
    <d v="2024-12-09T00:00:00"/>
    <x v="0"/>
    <n v="10"/>
    <x v="2"/>
    <x v="1"/>
    <x v="1"/>
    <x v="0"/>
    <n v="20"/>
    <n v="12"/>
    <n v="18"/>
  </r>
  <r>
    <n v="3519"/>
    <s v="Yasmin Rocha"/>
    <x v="1"/>
    <d v="2024-12-10T00:00:00"/>
    <x v="1"/>
    <n v="5"/>
    <x v="0"/>
    <x v="1"/>
    <x v="1"/>
    <x v="1"/>
    <n v="0"/>
    <n v="2"/>
    <n v="3"/>
  </r>
  <r>
    <n v="3520"/>
    <s v="Zacarias Duarte"/>
    <x v="0"/>
    <d v="2024-12-11T00:00:00"/>
    <x v="0"/>
    <n v="15"/>
    <x v="1"/>
    <x v="0"/>
    <x v="0"/>
    <x v="0"/>
    <n v="20"/>
    <n v="5"/>
    <n v="60"/>
  </r>
  <r>
    <n v="3521"/>
    <s v="Amanda Freitas"/>
    <x v="2"/>
    <d v="2024-12-12T00:00:00"/>
    <x v="1"/>
    <n v="10"/>
    <x v="0"/>
    <x v="1"/>
    <x v="1"/>
    <x v="0"/>
    <n v="20"/>
    <n v="10"/>
    <n v="20"/>
  </r>
  <r>
    <n v="3522"/>
    <s v="Bruno Almeida"/>
    <x v="1"/>
    <d v="2024-12-13T00:00:00"/>
    <x v="0"/>
    <n v="5"/>
    <x v="2"/>
    <x v="1"/>
    <x v="1"/>
    <x v="1"/>
    <n v="0"/>
    <n v="0"/>
    <n v="5"/>
  </r>
  <r>
    <n v="3523"/>
    <s v="Carla Siqueira"/>
    <x v="0"/>
    <d v="2024-12-14T00:00:00"/>
    <x v="1"/>
    <n v="15"/>
    <x v="0"/>
    <x v="0"/>
    <x v="0"/>
    <x v="0"/>
    <n v="20"/>
    <n v="3"/>
    <n v="62"/>
  </r>
  <r>
    <n v="3524"/>
    <s v="Diogo Ramos"/>
    <x v="2"/>
    <d v="2024-12-15T00:00:00"/>
    <x v="0"/>
    <n v="10"/>
    <x v="1"/>
    <x v="1"/>
    <x v="1"/>
    <x v="0"/>
    <n v="20"/>
    <n v="15"/>
    <n v="15"/>
  </r>
  <r>
    <n v="3525"/>
    <s v="Elisa Magalhães"/>
    <x v="1"/>
    <d v="2024-12-16T00:00:00"/>
    <x v="1"/>
    <n v="5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5982A-A57F-4F03-B1A6-3D5EBDD74A39}" name="Tabela dinâmica3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27:C31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formats count="1">
    <format dxfId="6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99A5ED-F7DF-4766-B859-962A05CC6507}" name="Tbl_EASeasonPass_Total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17:C21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">
    <format dxfId="63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7E557-9AF8-42FE-97A6-1CEE1334A798}" name="Tbl_annual_total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8:C11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BEC4465-845B-480E-BE0E-E0829234C19A}" sourceName="Subscription Type">
  <pivotTables>
    <pivotTable tabId="3" name="Tbl_annual_total"/>
    <pivotTable tabId="3" name="Tbl_EASeasonPass_Total"/>
    <pivotTable tabId="3" name="Tabela dinâmica3"/>
  </pivotTables>
  <data>
    <tabular pivotCacheId="163924337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4B80C9F-D5AB-47A1-A09A-7569098E5EFE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79">
  <autoFilter ref="A1:M296" xr:uid="{34E0E886-4200-4B36-97B3-63DB74FF40A0}"/>
  <tableColumns count="13">
    <tableColumn id="1" xr3:uid="{C4A90516-688A-46BF-9167-EA16C2A8A652}" name="Subscriber ID" dataDxfId="78"/>
    <tableColumn id="2" xr3:uid="{53DD39D0-2220-4121-9E9D-4EAA7E151C0F}" name="Name" dataDxfId="77"/>
    <tableColumn id="3" xr3:uid="{4F5FF271-4C57-4BE0-8F2C-F82C8551625C}" name="Plan" dataDxfId="76"/>
    <tableColumn id="4" xr3:uid="{8C17EB93-79B9-4E55-B8F7-BEB82F8253E9}" name="Start Date" dataDxfId="75"/>
    <tableColumn id="5" xr3:uid="{48CEDF9B-1689-482A-A828-5CCE7713264A}" name="Auto Renewal" dataDxfId="74"/>
    <tableColumn id="6" xr3:uid="{78B82374-9AA7-4E38-AE4F-78CDE6C83720}" name="Subscription Price" dataDxfId="73" dataCellStyle="Moeda"/>
    <tableColumn id="7" xr3:uid="{F2433F68-AF33-49D0-B1FB-19A396074EDE}" name="Subscription Type" dataDxfId="72"/>
    <tableColumn id="8" xr3:uid="{FD4D9C95-F6E5-4933-9068-A71FF7DF9343}" name="EA Play Season Pass" dataDxfId="71"/>
    <tableColumn id="13" xr3:uid="{978DD0D2-834E-4CE4-A39B-30976086932F}" name="EA Play Season Pass_x000a_Price" dataDxfId="70" dataCellStyle="Moeda"/>
    <tableColumn id="9" xr3:uid="{6E29F111-C395-4580-9DAD-3407D9E8B1A4}" name="Minecraft Season Pass" dataDxfId="69"/>
    <tableColumn id="10" xr3:uid="{EF544EAA-7F25-4FD5-A10E-8E62804DB9E3}" name="Minecraft Season Pass Price" dataDxfId="68" dataCellStyle="Moeda"/>
    <tableColumn id="11" xr3:uid="{7F6EB64A-1F07-4E48-9F0F-AC7D9DCD26F8}" name="Coupon Value" dataDxfId="67" dataCellStyle="Moeda"/>
    <tableColumn id="12" xr3:uid="{2B04ABC8-DE6F-426E-ADC0-D8AFC68CA58E}" name="Total Value" dataDxfId="6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5" sqref="E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D31"/>
  <sheetViews>
    <sheetView showGridLines="0" workbookViewId="0">
      <selection activeCell="D32" sqref="D32"/>
    </sheetView>
  </sheetViews>
  <sheetFormatPr defaultRowHeight="15" x14ac:dyDescent="0.25"/>
  <cols>
    <col min="2" max="2" width="18.42578125" bestFit="1" customWidth="1"/>
    <col min="3" max="4" width="35.1406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3" x14ac:dyDescent="0.25">
      <c r="B2" t="s">
        <v>317</v>
      </c>
    </row>
    <row r="3" spans="2:3" x14ac:dyDescent="0.25">
      <c r="B3" t="s">
        <v>316</v>
      </c>
    </row>
    <row r="6" spans="2:3" x14ac:dyDescent="0.25">
      <c r="B6" s="12" t="s">
        <v>16</v>
      </c>
      <c r="C6" t="s">
        <v>24</v>
      </c>
    </row>
    <row r="8" spans="2:3" x14ac:dyDescent="0.25">
      <c r="B8" s="12" t="s">
        <v>313</v>
      </c>
      <c r="C8" t="s">
        <v>315</v>
      </c>
    </row>
    <row r="9" spans="2:3" x14ac:dyDescent="0.25">
      <c r="B9" s="13" t="s">
        <v>23</v>
      </c>
      <c r="C9" s="14">
        <v>217</v>
      </c>
    </row>
    <row r="10" spans="2:3" x14ac:dyDescent="0.25">
      <c r="B10" s="13" t="s">
        <v>19</v>
      </c>
      <c r="C10" s="14">
        <v>1537</v>
      </c>
    </row>
    <row r="11" spans="2:3" x14ac:dyDescent="0.25">
      <c r="B11" s="13" t="s">
        <v>314</v>
      </c>
      <c r="C11" s="14">
        <v>1754</v>
      </c>
    </row>
    <row r="13" spans="2:3" x14ac:dyDescent="0.25">
      <c r="B13" s="13" t="s">
        <v>319</v>
      </c>
    </row>
    <row r="15" spans="2:3" x14ac:dyDescent="0.25">
      <c r="B15" s="12" t="s">
        <v>16</v>
      </c>
      <c r="C15" t="s">
        <v>24</v>
      </c>
    </row>
    <row r="17" spans="2:4" x14ac:dyDescent="0.25">
      <c r="B17" s="12" t="s">
        <v>313</v>
      </c>
      <c r="C17" t="s">
        <v>320</v>
      </c>
    </row>
    <row r="18" spans="2:4" x14ac:dyDescent="0.25">
      <c r="B18" s="13" t="s">
        <v>22</v>
      </c>
      <c r="C18" s="19">
        <v>0</v>
      </c>
    </row>
    <row r="19" spans="2:4" x14ac:dyDescent="0.25">
      <c r="B19" s="13" t="s">
        <v>26</v>
      </c>
      <c r="C19" s="19">
        <v>0</v>
      </c>
    </row>
    <row r="20" spans="2:4" x14ac:dyDescent="0.25">
      <c r="B20" s="13" t="s">
        <v>18</v>
      </c>
      <c r="C20" s="19">
        <v>600</v>
      </c>
      <c r="D20" s="20">
        <f>GETPIVOTDATA("EA Play Season Pass
Price",$B$17,"Plan","Ultimate")</f>
        <v>600</v>
      </c>
    </row>
    <row r="21" spans="2:4" x14ac:dyDescent="0.25">
      <c r="B21" s="13" t="s">
        <v>314</v>
      </c>
      <c r="C21" s="20">
        <v>600</v>
      </c>
    </row>
    <row r="23" spans="2:4" x14ac:dyDescent="0.25">
      <c r="B23" s="13" t="s">
        <v>321</v>
      </c>
    </row>
    <row r="25" spans="2:4" x14ac:dyDescent="0.25">
      <c r="B25" s="12" t="s">
        <v>16</v>
      </c>
      <c r="C25" t="s">
        <v>24</v>
      </c>
    </row>
    <row r="27" spans="2:4" x14ac:dyDescent="0.25">
      <c r="B27" s="12" t="s">
        <v>313</v>
      </c>
      <c r="C27" t="s">
        <v>322</v>
      </c>
    </row>
    <row r="28" spans="2:4" x14ac:dyDescent="0.25">
      <c r="B28" s="13" t="s">
        <v>22</v>
      </c>
      <c r="C28" s="14">
        <v>0</v>
      </c>
    </row>
    <row r="29" spans="2:4" x14ac:dyDescent="0.25">
      <c r="B29" s="13" t="s">
        <v>26</v>
      </c>
      <c r="C29" s="14">
        <v>540</v>
      </c>
    </row>
    <row r="30" spans="2:4" x14ac:dyDescent="0.25">
      <c r="B30" s="13" t="s">
        <v>18</v>
      </c>
      <c r="C30" s="14">
        <v>400</v>
      </c>
    </row>
    <row r="31" spans="2:4" x14ac:dyDescent="0.25">
      <c r="B31" s="13" t="s">
        <v>314</v>
      </c>
      <c r="C31" s="20">
        <v>940</v>
      </c>
      <c r="D31" s="20">
        <f>GETPIVOTDATA("Minecraft Season Pass Price",$B$27)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D583B-D962-4481-AA9E-95F912420D09}">
  <dimension ref="A1:R301"/>
  <sheetViews>
    <sheetView showGridLines="0" showRowColHeaders="0" tabSelected="1" zoomScale="145" zoomScaleNormal="145" workbookViewId="0">
      <selection activeCell="A27" sqref="A27"/>
    </sheetView>
  </sheetViews>
  <sheetFormatPr defaultRowHeight="15" x14ac:dyDescent="0.25"/>
  <cols>
    <col min="1" max="1" width="28.140625" style="16" customWidth="1"/>
  </cols>
  <sheetData>
    <row r="1" spans="1:18" s="15" customFormat="1" x14ac:dyDescent="0.25">
      <c r="A1" s="16"/>
    </row>
    <row r="2" spans="1:18" s="15" customFormat="1" ht="24" customHeight="1" thickBot="1" x14ac:dyDescent="0.5">
      <c r="A2" s="16"/>
      <c r="C2" s="17" t="s">
        <v>318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21"/>
    </row>
    <row r="3" spans="1:18" s="15" customFormat="1" ht="24" customHeight="1" thickTop="1" x14ac:dyDescent="0.25">
      <c r="A3" s="16"/>
    </row>
    <row r="4" spans="1:18" s="7" customFormat="1" x14ac:dyDescent="0.25">
      <c r="A4" s="16"/>
    </row>
    <row r="5" spans="1:18" s="7" customFormat="1" x14ac:dyDescent="0.25">
      <c r="A5" s="16"/>
    </row>
    <row r="6" spans="1:18" s="7" customFormat="1" x14ac:dyDescent="0.25">
      <c r="A6" s="16"/>
    </row>
    <row r="7" spans="1:18" s="7" customFormat="1" x14ac:dyDescent="0.25">
      <c r="A7" s="16"/>
    </row>
    <row r="8" spans="1:18" s="7" customFormat="1" x14ac:dyDescent="0.25">
      <c r="A8" s="16"/>
    </row>
    <row r="9" spans="1:18" s="7" customFormat="1" x14ac:dyDescent="0.25">
      <c r="A9" s="16"/>
    </row>
    <row r="10" spans="1:18" s="7" customFormat="1" x14ac:dyDescent="0.25">
      <c r="A10" s="16"/>
    </row>
    <row r="11" spans="1:18" s="7" customFormat="1" x14ac:dyDescent="0.25">
      <c r="A11" s="16"/>
    </row>
    <row r="12" spans="1:18" s="7" customFormat="1" x14ac:dyDescent="0.25">
      <c r="A12" s="16"/>
    </row>
    <row r="13" spans="1:18" s="7" customFormat="1" x14ac:dyDescent="0.25">
      <c r="A13" s="16"/>
    </row>
    <row r="14" spans="1:18" s="7" customFormat="1" x14ac:dyDescent="0.25">
      <c r="A14" s="16"/>
    </row>
    <row r="15" spans="1:18" s="7" customFormat="1" x14ac:dyDescent="0.25">
      <c r="A15" s="16"/>
    </row>
    <row r="16" spans="1:18" s="7" customFormat="1" x14ac:dyDescent="0.25">
      <c r="A16" s="16"/>
    </row>
    <row r="17" spans="1:1" s="7" customFormat="1" x14ac:dyDescent="0.25">
      <c r="A17" s="16"/>
    </row>
    <row r="18" spans="1:1" s="7" customFormat="1" x14ac:dyDescent="0.25">
      <c r="A18" s="16"/>
    </row>
    <row r="19" spans="1:1" s="7" customFormat="1" x14ac:dyDescent="0.25">
      <c r="A19" s="16"/>
    </row>
    <row r="20" spans="1:1" s="7" customFormat="1" x14ac:dyDescent="0.25">
      <c r="A20" s="16"/>
    </row>
    <row r="21" spans="1:1" s="7" customFormat="1" x14ac:dyDescent="0.25">
      <c r="A21" s="16"/>
    </row>
    <row r="22" spans="1:1" s="7" customFormat="1" x14ac:dyDescent="0.25">
      <c r="A22" s="16"/>
    </row>
    <row r="23" spans="1:1" s="7" customFormat="1" x14ac:dyDescent="0.25">
      <c r="A23" s="16"/>
    </row>
    <row r="24" spans="1:1" s="7" customFormat="1" x14ac:dyDescent="0.25">
      <c r="A24" s="16"/>
    </row>
    <row r="25" spans="1:1" s="7" customFormat="1" x14ac:dyDescent="0.25">
      <c r="A25" s="16"/>
    </row>
    <row r="26" spans="1:1" s="7" customFormat="1" x14ac:dyDescent="0.25">
      <c r="A26" s="16"/>
    </row>
    <row r="27" spans="1:1" s="7" customFormat="1" x14ac:dyDescent="0.25">
      <c r="A27" s="16"/>
    </row>
    <row r="28" spans="1:1" s="7" customFormat="1" x14ac:dyDescent="0.25">
      <c r="A28" s="16"/>
    </row>
    <row r="29" spans="1:1" s="7" customFormat="1" x14ac:dyDescent="0.25">
      <c r="A29" s="16"/>
    </row>
    <row r="30" spans="1:1" s="7" customFormat="1" x14ac:dyDescent="0.25">
      <c r="A30" s="16"/>
    </row>
    <row r="31" spans="1:1" s="7" customFormat="1" x14ac:dyDescent="0.25">
      <c r="A31" s="16"/>
    </row>
    <row r="32" spans="1:1" s="7" customFormat="1" x14ac:dyDescent="0.25">
      <c r="A32" s="16"/>
    </row>
    <row r="33" spans="1:1" s="7" customFormat="1" x14ac:dyDescent="0.25">
      <c r="A33" s="16"/>
    </row>
    <row r="34" spans="1:1" s="7" customFormat="1" x14ac:dyDescent="0.25">
      <c r="A34" s="16"/>
    </row>
    <row r="35" spans="1:1" s="7" customFormat="1" x14ac:dyDescent="0.25">
      <c r="A35" s="16"/>
    </row>
    <row r="36" spans="1:1" s="7" customFormat="1" x14ac:dyDescent="0.25">
      <c r="A36" s="16"/>
    </row>
    <row r="37" spans="1:1" s="7" customFormat="1" x14ac:dyDescent="0.25">
      <c r="A37" s="16"/>
    </row>
    <row r="38" spans="1:1" s="7" customFormat="1" x14ac:dyDescent="0.25">
      <c r="A38" s="16"/>
    </row>
    <row r="39" spans="1:1" s="7" customFormat="1" x14ac:dyDescent="0.25">
      <c r="A39" s="16"/>
    </row>
    <row r="40" spans="1:1" s="7" customFormat="1" x14ac:dyDescent="0.25">
      <c r="A40" s="16"/>
    </row>
    <row r="41" spans="1:1" s="7" customFormat="1" x14ac:dyDescent="0.25">
      <c r="A41" s="16"/>
    </row>
    <row r="42" spans="1:1" s="7" customFormat="1" x14ac:dyDescent="0.25">
      <c r="A42" s="16"/>
    </row>
    <row r="43" spans="1:1" s="7" customFormat="1" x14ac:dyDescent="0.25">
      <c r="A43" s="16"/>
    </row>
    <row r="44" spans="1:1" s="7" customFormat="1" x14ac:dyDescent="0.25">
      <c r="A44" s="16"/>
    </row>
    <row r="45" spans="1:1" s="7" customFormat="1" x14ac:dyDescent="0.25">
      <c r="A45" s="16"/>
    </row>
    <row r="46" spans="1:1" s="7" customFormat="1" x14ac:dyDescent="0.25">
      <c r="A46" s="16"/>
    </row>
    <row r="47" spans="1:1" s="7" customFormat="1" x14ac:dyDescent="0.25">
      <c r="A47" s="16"/>
    </row>
    <row r="48" spans="1:1" s="7" customFormat="1" x14ac:dyDescent="0.25">
      <c r="A48" s="16"/>
    </row>
    <row r="49" spans="1:1" s="7" customFormat="1" x14ac:dyDescent="0.25">
      <c r="A49" s="16"/>
    </row>
    <row r="50" spans="1:1" s="7" customFormat="1" x14ac:dyDescent="0.25">
      <c r="A50" s="16"/>
    </row>
    <row r="51" spans="1:1" s="7" customFormat="1" x14ac:dyDescent="0.25">
      <c r="A51" s="16"/>
    </row>
    <row r="52" spans="1:1" s="7" customFormat="1" x14ac:dyDescent="0.25">
      <c r="A52" s="16"/>
    </row>
    <row r="53" spans="1:1" s="7" customFormat="1" x14ac:dyDescent="0.25">
      <c r="A53" s="16"/>
    </row>
    <row r="54" spans="1:1" s="7" customFormat="1" x14ac:dyDescent="0.25">
      <c r="A54" s="16"/>
    </row>
    <row r="55" spans="1:1" s="7" customFormat="1" x14ac:dyDescent="0.25">
      <c r="A55" s="16"/>
    </row>
    <row r="56" spans="1:1" s="7" customFormat="1" x14ac:dyDescent="0.25">
      <c r="A56" s="16"/>
    </row>
    <row r="57" spans="1:1" s="7" customFormat="1" x14ac:dyDescent="0.25">
      <c r="A57" s="16"/>
    </row>
    <row r="58" spans="1:1" s="7" customFormat="1" x14ac:dyDescent="0.25">
      <c r="A58" s="16"/>
    </row>
    <row r="59" spans="1:1" s="7" customFormat="1" x14ac:dyDescent="0.25">
      <c r="A59" s="16"/>
    </row>
    <row r="60" spans="1:1" s="7" customFormat="1" x14ac:dyDescent="0.25">
      <c r="A60" s="16"/>
    </row>
    <row r="61" spans="1:1" s="7" customFormat="1" x14ac:dyDescent="0.25">
      <c r="A61" s="16"/>
    </row>
    <row r="62" spans="1:1" s="7" customFormat="1" x14ac:dyDescent="0.25">
      <c r="A62" s="16"/>
    </row>
    <row r="63" spans="1:1" s="7" customFormat="1" x14ac:dyDescent="0.25">
      <c r="A63" s="16"/>
    </row>
    <row r="64" spans="1:1" s="7" customFormat="1" x14ac:dyDescent="0.25">
      <c r="A64" s="16"/>
    </row>
    <row r="65" spans="1:1" s="7" customFormat="1" x14ac:dyDescent="0.25">
      <c r="A65" s="16"/>
    </row>
    <row r="66" spans="1:1" s="7" customFormat="1" x14ac:dyDescent="0.25">
      <c r="A66" s="16"/>
    </row>
    <row r="67" spans="1:1" s="7" customFormat="1" x14ac:dyDescent="0.25">
      <c r="A67" s="16"/>
    </row>
    <row r="68" spans="1:1" s="7" customFormat="1" x14ac:dyDescent="0.25">
      <c r="A68" s="16"/>
    </row>
    <row r="69" spans="1:1" s="7" customFormat="1" x14ac:dyDescent="0.25">
      <c r="A69" s="16"/>
    </row>
    <row r="70" spans="1:1" s="7" customFormat="1" x14ac:dyDescent="0.25">
      <c r="A70" s="16"/>
    </row>
    <row r="71" spans="1:1" s="7" customFormat="1" x14ac:dyDescent="0.25">
      <c r="A71" s="16"/>
    </row>
    <row r="72" spans="1:1" s="7" customFormat="1" x14ac:dyDescent="0.25">
      <c r="A72" s="16"/>
    </row>
    <row r="73" spans="1:1" s="7" customFormat="1" x14ac:dyDescent="0.25">
      <c r="A73" s="16"/>
    </row>
    <row r="74" spans="1:1" s="7" customFormat="1" x14ac:dyDescent="0.25">
      <c r="A74" s="16"/>
    </row>
    <row r="75" spans="1:1" s="7" customFormat="1" x14ac:dyDescent="0.25">
      <c r="A75" s="16"/>
    </row>
    <row r="76" spans="1:1" s="7" customFormat="1" x14ac:dyDescent="0.25">
      <c r="A76" s="16"/>
    </row>
    <row r="77" spans="1:1" s="7" customFormat="1" x14ac:dyDescent="0.25">
      <c r="A77" s="16"/>
    </row>
    <row r="78" spans="1:1" s="7" customFormat="1" x14ac:dyDescent="0.25">
      <c r="A78" s="16"/>
    </row>
    <row r="79" spans="1:1" s="7" customFormat="1" x14ac:dyDescent="0.25">
      <c r="A79" s="16"/>
    </row>
    <row r="80" spans="1:1" s="7" customFormat="1" x14ac:dyDescent="0.25">
      <c r="A80" s="16"/>
    </row>
    <row r="81" spans="1:1" s="7" customFormat="1" x14ac:dyDescent="0.25">
      <c r="A81" s="16"/>
    </row>
    <row r="82" spans="1:1" s="7" customFormat="1" x14ac:dyDescent="0.25">
      <c r="A82" s="16"/>
    </row>
    <row r="83" spans="1:1" s="7" customFormat="1" x14ac:dyDescent="0.25">
      <c r="A83" s="16"/>
    </row>
    <row r="84" spans="1:1" s="7" customFormat="1" x14ac:dyDescent="0.25">
      <c r="A84" s="16"/>
    </row>
    <row r="85" spans="1:1" s="7" customFormat="1" x14ac:dyDescent="0.25">
      <c r="A85" s="16"/>
    </row>
    <row r="86" spans="1:1" s="7" customFormat="1" x14ac:dyDescent="0.25">
      <c r="A86" s="16"/>
    </row>
    <row r="87" spans="1:1" s="7" customFormat="1" x14ac:dyDescent="0.25">
      <c r="A87" s="16"/>
    </row>
    <row r="88" spans="1:1" s="7" customFormat="1" x14ac:dyDescent="0.25">
      <c r="A88" s="16"/>
    </row>
    <row r="89" spans="1:1" s="7" customFormat="1" x14ac:dyDescent="0.25">
      <c r="A89" s="16"/>
    </row>
    <row r="90" spans="1:1" s="7" customFormat="1" x14ac:dyDescent="0.25">
      <c r="A90" s="16"/>
    </row>
    <row r="91" spans="1:1" s="7" customFormat="1" x14ac:dyDescent="0.25">
      <c r="A91" s="16"/>
    </row>
    <row r="92" spans="1:1" s="7" customFormat="1" x14ac:dyDescent="0.25">
      <c r="A92" s="16"/>
    </row>
    <row r="93" spans="1:1" s="7" customFormat="1" x14ac:dyDescent="0.25">
      <c r="A93" s="16"/>
    </row>
    <row r="94" spans="1:1" s="7" customFormat="1" x14ac:dyDescent="0.25">
      <c r="A94" s="16"/>
    </row>
    <row r="95" spans="1:1" s="7" customFormat="1" x14ac:dyDescent="0.25">
      <c r="A95" s="16"/>
    </row>
    <row r="96" spans="1:1" s="7" customFormat="1" x14ac:dyDescent="0.25">
      <c r="A96" s="16"/>
    </row>
    <row r="97" spans="1:1" s="7" customFormat="1" x14ac:dyDescent="0.25">
      <c r="A97" s="16"/>
    </row>
    <row r="98" spans="1:1" s="7" customFormat="1" x14ac:dyDescent="0.25">
      <c r="A98" s="16"/>
    </row>
    <row r="99" spans="1:1" s="7" customFormat="1" x14ac:dyDescent="0.25">
      <c r="A99" s="16"/>
    </row>
    <row r="100" spans="1:1" s="7" customFormat="1" x14ac:dyDescent="0.25">
      <c r="A100" s="16"/>
    </row>
    <row r="101" spans="1:1" s="7" customFormat="1" x14ac:dyDescent="0.25">
      <c r="A101" s="16"/>
    </row>
    <row r="102" spans="1:1" s="7" customFormat="1" x14ac:dyDescent="0.25">
      <c r="A102" s="16"/>
    </row>
    <row r="103" spans="1:1" s="7" customFormat="1" x14ac:dyDescent="0.25">
      <c r="A103" s="16"/>
    </row>
    <row r="104" spans="1:1" s="7" customFormat="1" x14ac:dyDescent="0.25">
      <c r="A104" s="16"/>
    </row>
    <row r="105" spans="1:1" s="7" customFormat="1" x14ac:dyDescent="0.25">
      <c r="A105" s="16"/>
    </row>
    <row r="106" spans="1:1" s="7" customFormat="1" x14ac:dyDescent="0.25">
      <c r="A106" s="16"/>
    </row>
    <row r="107" spans="1:1" s="7" customFormat="1" x14ac:dyDescent="0.25">
      <c r="A107" s="16"/>
    </row>
    <row r="108" spans="1:1" s="7" customFormat="1" x14ac:dyDescent="0.25">
      <c r="A108" s="16"/>
    </row>
    <row r="109" spans="1:1" s="7" customFormat="1" x14ac:dyDescent="0.25">
      <c r="A109" s="16"/>
    </row>
    <row r="110" spans="1:1" s="7" customFormat="1" x14ac:dyDescent="0.25">
      <c r="A110" s="16"/>
    </row>
    <row r="111" spans="1:1" s="7" customFormat="1" x14ac:dyDescent="0.25">
      <c r="A111" s="16"/>
    </row>
    <row r="112" spans="1:1" s="7" customFormat="1" x14ac:dyDescent="0.25">
      <c r="A112" s="16"/>
    </row>
    <row r="113" spans="1:1" s="7" customFormat="1" x14ac:dyDescent="0.25">
      <c r="A113" s="16"/>
    </row>
    <row r="114" spans="1:1" s="7" customFormat="1" x14ac:dyDescent="0.25">
      <c r="A114" s="16"/>
    </row>
    <row r="115" spans="1:1" s="7" customFormat="1" x14ac:dyDescent="0.25">
      <c r="A115" s="16"/>
    </row>
    <row r="116" spans="1:1" s="7" customFormat="1" x14ac:dyDescent="0.25">
      <c r="A116" s="16"/>
    </row>
    <row r="117" spans="1:1" s="7" customFormat="1" x14ac:dyDescent="0.25">
      <c r="A117" s="16"/>
    </row>
    <row r="118" spans="1:1" s="7" customFormat="1" x14ac:dyDescent="0.25">
      <c r="A118" s="16"/>
    </row>
    <row r="119" spans="1:1" s="7" customFormat="1" x14ac:dyDescent="0.25">
      <c r="A119" s="16"/>
    </row>
    <row r="120" spans="1:1" s="7" customFormat="1" x14ac:dyDescent="0.25">
      <c r="A120" s="16"/>
    </row>
    <row r="121" spans="1:1" s="7" customFormat="1" x14ac:dyDescent="0.25">
      <c r="A121" s="16"/>
    </row>
    <row r="122" spans="1:1" s="7" customFormat="1" x14ac:dyDescent="0.25">
      <c r="A122" s="16"/>
    </row>
    <row r="123" spans="1:1" s="7" customFormat="1" x14ac:dyDescent="0.25">
      <c r="A123" s="16"/>
    </row>
    <row r="124" spans="1:1" s="7" customFormat="1" x14ac:dyDescent="0.25">
      <c r="A124" s="16"/>
    </row>
    <row r="125" spans="1:1" s="7" customFormat="1" x14ac:dyDescent="0.25">
      <c r="A125" s="16"/>
    </row>
    <row r="126" spans="1:1" s="7" customFormat="1" x14ac:dyDescent="0.25">
      <c r="A126" s="16"/>
    </row>
    <row r="127" spans="1:1" s="7" customFormat="1" x14ac:dyDescent="0.25">
      <c r="A127" s="16"/>
    </row>
    <row r="128" spans="1:1" s="7" customFormat="1" x14ac:dyDescent="0.25">
      <c r="A128" s="16"/>
    </row>
    <row r="129" spans="1:1" s="7" customFormat="1" x14ac:dyDescent="0.25">
      <c r="A129" s="16"/>
    </row>
    <row r="130" spans="1:1" s="7" customFormat="1" x14ac:dyDescent="0.25">
      <c r="A130" s="16"/>
    </row>
    <row r="131" spans="1:1" s="7" customFormat="1" x14ac:dyDescent="0.25">
      <c r="A131" s="16"/>
    </row>
    <row r="132" spans="1:1" s="7" customFormat="1" x14ac:dyDescent="0.25">
      <c r="A132" s="16"/>
    </row>
    <row r="133" spans="1:1" s="7" customFormat="1" x14ac:dyDescent="0.25">
      <c r="A133" s="16"/>
    </row>
    <row r="134" spans="1:1" s="7" customFormat="1" x14ac:dyDescent="0.25">
      <c r="A134" s="16"/>
    </row>
    <row r="135" spans="1:1" s="7" customFormat="1" x14ac:dyDescent="0.25">
      <c r="A135" s="16"/>
    </row>
    <row r="136" spans="1:1" s="7" customFormat="1" x14ac:dyDescent="0.25">
      <c r="A136" s="16"/>
    </row>
    <row r="137" spans="1:1" s="7" customFormat="1" x14ac:dyDescent="0.25">
      <c r="A137" s="16"/>
    </row>
    <row r="138" spans="1:1" s="7" customFormat="1" x14ac:dyDescent="0.25">
      <c r="A138" s="16"/>
    </row>
    <row r="139" spans="1:1" s="7" customFormat="1" x14ac:dyDescent="0.25">
      <c r="A139" s="16"/>
    </row>
    <row r="140" spans="1:1" s="7" customFormat="1" x14ac:dyDescent="0.25">
      <c r="A140" s="16"/>
    </row>
    <row r="141" spans="1:1" s="7" customFormat="1" x14ac:dyDescent="0.25">
      <c r="A141" s="16"/>
    </row>
    <row r="142" spans="1:1" s="7" customFormat="1" x14ac:dyDescent="0.25">
      <c r="A142" s="16"/>
    </row>
    <row r="143" spans="1:1" s="7" customFormat="1" x14ac:dyDescent="0.25">
      <c r="A143" s="16"/>
    </row>
    <row r="144" spans="1:1" s="7" customFormat="1" x14ac:dyDescent="0.25">
      <c r="A144" s="16"/>
    </row>
    <row r="145" spans="1:1" s="7" customFormat="1" x14ac:dyDescent="0.25">
      <c r="A145" s="16"/>
    </row>
    <row r="146" spans="1:1" s="7" customFormat="1" x14ac:dyDescent="0.25">
      <c r="A146" s="16"/>
    </row>
    <row r="147" spans="1:1" s="7" customFormat="1" x14ac:dyDescent="0.25">
      <c r="A147" s="16"/>
    </row>
    <row r="148" spans="1:1" s="7" customFormat="1" x14ac:dyDescent="0.25">
      <c r="A148" s="16"/>
    </row>
    <row r="149" spans="1:1" s="7" customFormat="1" x14ac:dyDescent="0.25">
      <c r="A149" s="16"/>
    </row>
    <row r="150" spans="1:1" s="7" customFormat="1" x14ac:dyDescent="0.25">
      <c r="A150" s="16"/>
    </row>
    <row r="151" spans="1:1" s="7" customFormat="1" x14ac:dyDescent="0.25">
      <c r="A151" s="16"/>
    </row>
    <row r="152" spans="1:1" s="7" customFormat="1" x14ac:dyDescent="0.25">
      <c r="A152" s="16"/>
    </row>
    <row r="153" spans="1:1" s="7" customFormat="1" x14ac:dyDescent="0.25">
      <c r="A153" s="16"/>
    </row>
    <row r="154" spans="1:1" s="7" customFormat="1" x14ac:dyDescent="0.25">
      <c r="A154" s="16"/>
    </row>
    <row r="155" spans="1:1" s="7" customFormat="1" x14ac:dyDescent="0.25">
      <c r="A155" s="16"/>
    </row>
    <row r="156" spans="1:1" s="7" customFormat="1" x14ac:dyDescent="0.25">
      <c r="A156" s="16"/>
    </row>
    <row r="157" spans="1:1" s="7" customFormat="1" x14ac:dyDescent="0.25">
      <c r="A157" s="16"/>
    </row>
    <row r="158" spans="1:1" s="7" customFormat="1" x14ac:dyDescent="0.25">
      <c r="A158" s="16"/>
    </row>
    <row r="159" spans="1:1" s="7" customFormat="1" x14ac:dyDescent="0.25">
      <c r="A159" s="16"/>
    </row>
    <row r="160" spans="1:1" s="7" customFormat="1" x14ac:dyDescent="0.25">
      <c r="A160" s="16"/>
    </row>
    <row r="161" spans="1:1" s="7" customFormat="1" x14ac:dyDescent="0.25">
      <c r="A161" s="16"/>
    </row>
    <row r="162" spans="1:1" s="7" customFormat="1" x14ac:dyDescent="0.25">
      <c r="A162" s="16"/>
    </row>
    <row r="163" spans="1:1" s="7" customFormat="1" x14ac:dyDescent="0.25">
      <c r="A163" s="16"/>
    </row>
    <row r="164" spans="1:1" s="7" customFormat="1" x14ac:dyDescent="0.25">
      <c r="A164" s="16"/>
    </row>
    <row r="165" spans="1:1" s="7" customFormat="1" x14ac:dyDescent="0.25">
      <c r="A165" s="16"/>
    </row>
    <row r="166" spans="1:1" s="7" customFormat="1" x14ac:dyDescent="0.25">
      <c r="A166" s="16"/>
    </row>
    <row r="167" spans="1:1" s="7" customFormat="1" x14ac:dyDescent="0.25">
      <c r="A167" s="16"/>
    </row>
    <row r="168" spans="1:1" s="7" customFormat="1" x14ac:dyDescent="0.25">
      <c r="A168" s="16"/>
    </row>
    <row r="169" spans="1:1" s="7" customFormat="1" x14ac:dyDescent="0.25">
      <c r="A169" s="16"/>
    </row>
    <row r="170" spans="1:1" s="7" customFormat="1" x14ac:dyDescent="0.25">
      <c r="A170" s="16"/>
    </row>
    <row r="171" spans="1:1" s="7" customFormat="1" x14ac:dyDescent="0.25">
      <c r="A171" s="16"/>
    </row>
    <row r="172" spans="1:1" s="7" customFormat="1" x14ac:dyDescent="0.25">
      <c r="A172" s="16"/>
    </row>
    <row r="173" spans="1:1" s="7" customFormat="1" x14ac:dyDescent="0.25">
      <c r="A173" s="16"/>
    </row>
    <row r="174" spans="1:1" s="7" customFormat="1" x14ac:dyDescent="0.25">
      <c r="A174" s="16"/>
    </row>
    <row r="175" spans="1:1" s="7" customFormat="1" x14ac:dyDescent="0.25">
      <c r="A175" s="16"/>
    </row>
    <row r="176" spans="1:1" s="7" customFormat="1" x14ac:dyDescent="0.25">
      <c r="A176" s="16"/>
    </row>
    <row r="177" spans="1:1" s="7" customFormat="1" x14ac:dyDescent="0.25">
      <c r="A177" s="16"/>
    </row>
    <row r="178" spans="1:1" s="7" customFormat="1" x14ac:dyDescent="0.25">
      <c r="A178" s="16"/>
    </row>
    <row r="179" spans="1:1" s="7" customFormat="1" x14ac:dyDescent="0.25">
      <c r="A179" s="16"/>
    </row>
    <row r="180" spans="1:1" s="7" customFormat="1" x14ac:dyDescent="0.25">
      <c r="A180" s="16"/>
    </row>
    <row r="181" spans="1:1" s="7" customFormat="1" x14ac:dyDescent="0.25">
      <c r="A181" s="16"/>
    </row>
    <row r="182" spans="1:1" s="7" customFormat="1" x14ac:dyDescent="0.25">
      <c r="A182" s="16"/>
    </row>
    <row r="183" spans="1:1" s="7" customFormat="1" x14ac:dyDescent="0.25">
      <c r="A183" s="16"/>
    </row>
    <row r="184" spans="1:1" s="7" customFormat="1" x14ac:dyDescent="0.25">
      <c r="A184" s="16"/>
    </row>
    <row r="185" spans="1:1" s="7" customFormat="1" x14ac:dyDescent="0.25">
      <c r="A185" s="16"/>
    </row>
    <row r="186" spans="1:1" s="7" customFormat="1" x14ac:dyDescent="0.25">
      <c r="A186" s="16"/>
    </row>
    <row r="187" spans="1:1" s="7" customFormat="1" x14ac:dyDescent="0.25">
      <c r="A187" s="16"/>
    </row>
    <row r="188" spans="1:1" s="7" customFormat="1" x14ac:dyDescent="0.25">
      <c r="A188" s="16"/>
    </row>
    <row r="189" spans="1:1" s="7" customFormat="1" x14ac:dyDescent="0.25">
      <c r="A189" s="16"/>
    </row>
    <row r="190" spans="1:1" s="7" customFormat="1" x14ac:dyDescent="0.25">
      <c r="A190" s="16"/>
    </row>
    <row r="191" spans="1:1" s="7" customFormat="1" x14ac:dyDescent="0.25">
      <c r="A191" s="16"/>
    </row>
    <row r="192" spans="1:1" s="7" customFormat="1" x14ac:dyDescent="0.25">
      <c r="A192" s="16"/>
    </row>
    <row r="193" spans="1:1" s="7" customFormat="1" x14ac:dyDescent="0.25">
      <c r="A193" s="16"/>
    </row>
    <row r="194" spans="1:1" s="7" customFormat="1" x14ac:dyDescent="0.25">
      <c r="A194" s="16"/>
    </row>
    <row r="195" spans="1:1" s="7" customFormat="1" x14ac:dyDescent="0.25">
      <c r="A195" s="16"/>
    </row>
    <row r="196" spans="1:1" s="7" customFormat="1" x14ac:dyDescent="0.25">
      <c r="A196" s="16"/>
    </row>
    <row r="197" spans="1:1" s="7" customFormat="1" x14ac:dyDescent="0.25">
      <c r="A197" s="16"/>
    </row>
    <row r="198" spans="1:1" s="7" customFormat="1" x14ac:dyDescent="0.25">
      <c r="A198" s="16"/>
    </row>
    <row r="199" spans="1:1" s="7" customFormat="1" x14ac:dyDescent="0.25">
      <c r="A199" s="16"/>
    </row>
    <row r="200" spans="1:1" s="7" customFormat="1" x14ac:dyDescent="0.25">
      <c r="A200" s="16"/>
    </row>
    <row r="201" spans="1:1" s="7" customFormat="1" x14ac:dyDescent="0.25">
      <c r="A201" s="16"/>
    </row>
    <row r="202" spans="1:1" s="7" customFormat="1" x14ac:dyDescent="0.25">
      <c r="A202" s="16"/>
    </row>
    <row r="203" spans="1:1" s="7" customFormat="1" x14ac:dyDescent="0.25">
      <c r="A203" s="16"/>
    </row>
    <row r="204" spans="1:1" s="7" customFormat="1" x14ac:dyDescent="0.25">
      <c r="A204" s="16"/>
    </row>
    <row r="205" spans="1:1" s="7" customFormat="1" x14ac:dyDescent="0.25">
      <c r="A205" s="16"/>
    </row>
    <row r="206" spans="1:1" s="7" customFormat="1" x14ac:dyDescent="0.25">
      <c r="A206" s="16"/>
    </row>
    <row r="207" spans="1:1" s="7" customFormat="1" x14ac:dyDescent="0.25">
      <c r="A207" s="16"/>
    </row>
    <row r="208" spans="1:1" s="7" customFormat="1" x14ac:dyDescent="0.25">
      <c r="A208" s="16"/>
    </row>
    <row r="209" spans="1:1" s="7" customFormat="1" x14ac:dyDescent="0.25">
      <c r="A209" s="16"/>
    </row>
    <row r="210" spans="1:1" s="7" customFormat="1" x14ac:dyDescent="0.25">
      <c r="A210" s="16"/>
    </row>
    <row r="211" spans="1:1" s="7" customFormat="1" x14ac:dyDescent="0.25">
      <c r="A211" s="16"/>
    </row>
    <row r="212" spans="1:1" s="7" customFormat="1" x14ac:dyDescent="0.25">
      <c r="A212" s="16"/>
    </row>
    <row r="213" spans="1:1" s="7" customFormat="1" x14ac:dyDescent="0.25">
      <c r="A213" s="16"/>
    </row>
    <row r="214" spans="1:1" s="7" customFormat="1" x14ac:dyDescent="0.25">
      <c r="A214" s="16"/>
    </row>
    <row r="215" spans="1:1" s="7" customFormat="1" x14ac:dyDescent="0.25">
      <c r="A215" s="16"/>
    </row>
    <row r="216" spans="1:1" s="7" customFormat="1" x14ac:dyDescent="0.25">
      <c r="A216" s="16"/>
    </row>
    <row r="217" spans="1:1" s="7" customFormat="1" x14ac:dyDescent="0.25">
      <c r="A217" s="16"/>
    </row>
    <row r="218" spans="1:1" s="7" customFormat="1" x14ac:dyDescent="0.25">
      <c r="A218" s="16"/>
    </row>
    <row r="219" spans="1:1" s="7" customFormat="1" x14ac:dyDescent="0.25">
      <c r="A219" s="16"/>
    </row>
    <row r="220" spans="1:1" s="7" customFormat="1" x14ac:dyDescent="0.25">
      <c r="A220" s="16"/>
    </row>
    <row r="221" spans="1:1" s="7" customFormat="1" x14ac:dyDescent="0.25">
      <c r="A221" s="16"/>
    </row>
    <row r="222" spans="1:1" s="7" customFormat="1" x14ac:dyDescent="0.25">
      <c r="A222" s="16"/>
    </row>
    <row r="223" spans="1:1" s="7" customFormat="1" x14ac:dyDescent="0.25">
      <c r="A223" s="16"/>
    </row>
    <row r="224" spans="1:1" s="7" customFormat="1" x14ac:dyDescent="0.25">
      <c r="A224" s="16"/>
    </row>
    <row r="225" spans="1:1" s="7" customFormat="1" x14ac:dyDescent="0.25">
      <c r="A225" s="16"/>
    </row>
    <row r="226" spans="1:1" s="7" customFormat="1" x14ac:dyDescent="0.25">
      <c r="A226" s="16"/>
    </row>
    <row r="227" spans="1:1" s="7" customFormat="1" x14ac:dyDescent="0.25">
      <c r="A227" s="16"/>
    </row>
    <row r="228" spans="1:1" s="7" customFormat="1" x14ac:dyDescent="0.25">
      <c r="A228" s="16"/>
    </row>
    <row r="229" spans="1:1" s="7" customFormat="1" x14ac:dyDescent="0.25">
      <c r="A229" s="16"/>
    </row>
    <row r="230" spans="1:1" s="7" customFormat="1" x14ac:dyDescent="0.25">
      <c r="A230" s="16"/>
    </row>
    <row r="231" spans="1:1" s="7" customFormat="1" x14ac:dyDescent="0.25">
      <c r="A231" s="16"/>
    </row>
    <row r="232" spans="1:1" s="7" customFormat="1" x14ac:dyDescent="0.25">
      <c r="A232" s="16"/>
    </row>
    <row r="233" spans="1:1" s="7" customFormat="1" x14ac:dyDescent="0.25">
      <c r="A233" s="16"/>
    </row>
    <row r="234" spans="1:1" s="7" customFormat="1" x14ac:dyDescent="0.25">
      <c r="A234" s="16"/>
    </row>
    <row r="235" spans="1:1" s="7" customFormat="1" x14ac:dyDescent="0.25">
      <c r="A235" s="16"/>
    </row>
    <row r="236" spans="1:1" s="7" customFormat="1" x14ac:dyDescent="0.25">
      <c r="A236" s="16"/>
    </row>
    <row r="237" spans="1:1" s="7" customFormat="1" x14ac:dyDescent="0.25">
      <c r="A237" s="16"/>
    </row>
    <row r="238" spans="1:1" s="7" customFormat="1" x14ac:dyDescent="0.25">
      <c r="A238" s="16"/>
    </row>
    <row r="239" spans="1:1" s="7" customFormat="1" x14ac:dyDescent="0.25">
      <c r="A239" s="16"/>
    </row>
    <row r="240" spans="1:1" s="7" customFormat="1" x14ac:dyDescent="0.25">
      <c r="A240" s="16"/>
    </row>
    <row r="241" spans="1:1" s="7" customFormat="1" x14ac:dyDescent="0.25">
      <c r="A241" s="16"/>
    </row>
    <row r="242" spans="1:1" s="7" customFormat="1" x14ac:dyDescent="0.25">
      <c r="A242" s="16"/>
    </row>
    <row r="243" spans="1:1" s="7" customFormat="1" x14ac:dyDescent="0.25">
      <c r="A243" s="16"/>
    </row>
    <row r="244" spans="1:1" s="7" customFormat="1" x14ac:dyDescent="0.25">
      <c r="A244" s="16"/>
    </row>
    <row r="245" spans="1:1" s="7" customFormat="1" x14ac:dyDescent="0.25">
      <c r="A245" s="16"/>
    </row>
    <row r="246" spans="1:1" s="7" customFormat="1" x14ac:dyDescent="0.25">
      <c r="A246" s="16"/>
    </row>
    <row r="247" spans="1:1" s="7" customFormat="1" x14ac:dyDescent="0.25">
      <c r="A247" s="16"/>
    </row>
    <row r="248" spans="1:1" s="7" customFormat="1" x14ac:dyDescent="0.25">
      <c r="A248" s="16"/>
    </row>
    <row r="249" spans="1:1" s="7" customFormat="1" x14ac:dyDescent="0.25">
      <c r="A249" s="16"/>
    </row>
    <row r="250" spans="1:1" s="7" customFormat="1" x14ac:dyDescent="0.25">
      <c r="A250" s="16"/>
    </row>
    <row r="251" spans="1:1" s="7" customFormat="1" x14ac:dyDescent="0.25">
      <c r="A251" s="16"/>
    </row>
    <row r="252" spans="1:1" s="7" customFormat="1" x14ac:dyDescent="0.25">
      <c r="A252" s="16"/>
    </row>
    <row r="253" spans="1:1" s="7" customFormat="1" x14ac:dyDescent="0.25">
      <c r="A253" s="16"/>
    </row>
    <row r="254" spans="1:1" s="7" customFormat="1" x14ac:dyDescent="0.25">
      <c r="A254" s="16"/>
    </row>
    <row r="255" spans="1:1" s="7" customFormat="1" x14ac:dyDescent="0.25">
      <c r="A255" s="16"/>
    </row>
    <row r="256" spans="1:1" s="7" customFormat="1" x14ac:dyDescent="0.25">
      <c r="A256" s="16"/>
    </row>
    <row r="257" spans="1:1" s="7" customFormat="1" x14ac:dyDescent="0.25">
      <c r="A257" s="16"/>
    </row>
    <row r="258" spans="1:1" s="7" customFormat="1" x14ac:dyDescent="0.25">
      <c r="A258" s="16"/>
    </row>
    <row r="259" spans="1:1" s="7" customFormat="1" x14ac:dyDescent="0.25">
      <c r="A259" s="16"/>
    </row>
    <row r="260" spans="1:1" s="7" customFormat="1" x14ac:dyDescent="0.25">
      <c r="A260" s="16"/>
    </row>
    <row r="261" spans="1:1" s="7" customFormat="1" x14ac:dyDescent="0.25">
      <c r="A261" s="16"/>
    </row>
    <row r="262" spans="1:1" s="7" customFormat="1" x14ac:dyDescent="0.25">
      <c r="A262" s="16"/>
    </row>
    <row r="263" spans="1:1" s="7" customFormat="1" x14ac:dyDescent="0.25">
      <c r="A263" s="16"/>
    </row>
    <row r="264" spans="1:1" s="7" customFormat="1" x14ac:dyDescent="0.25">
      <c r="A264" s="16"/>
    </row>
    <row r="265" spans="1:1" s="7" customFormat="1" x14ac:dyDescent="0.25">
      <c r="A265" s="16"/>
    </row>
    <row r="266" spans="1:1" s="7" customFormat="1" x14ac:dyDescent="0.25">
      <c r="A266" s="16"/>
    </row>
    <row r="267" spans="1:1" s="7" customFormat="1" x14ac:dyDescent="0.25">
      <c r="A267" s="16"/>
    </row>
    <row r="268" spans="1:1" s="7" customFormat="1" x14ac:dyDescent="0.25">
      <c r="A268" s="16"/>
    </row>
    <row r="269" spans="1:1" s="7" customFormat="1" x14ac:dyDescent="0.25">
      <c r="A269" s="16"/>
    </row>
    <row r="270" spans="1:1" s="7" customFormat="1" x14ac:dyDescent="0.25">
      <c r="A270" s="16"/>
    </row>
    <row r="271" spans="1:1" s="7" customFormat="1" x14ac:dyDescent="0.25">
      <c r="A271" s="16"/>
    </row>
    <row r="272" spans="1:1" s="7" customFormat="1" x14ac:dyDescent="0.25">
      <c r="A272" s="16"/>
    </row>
    <row r="273" spans="1:1" s="7" customFormat="1" x14ac:dyDescent="0.25">
      <c r="A273" s="16"/>
    </row>
    <row r="274" spans="1:1" s="7" customFormat="1" x14ac:dyDescent="0.25">
      <c r="A274" s="16"/>
    </row>
    <row r="275" spans="1:1" s="7" customFormat="1" x14ac:dyDescent="0.25">
      <c r="A275" s="16"/>
    </row>
    <row r="276" spans="1:1" s="7" customFormat="1" x14ac:dyDescent="0.25">
      <c r="A276" s="16"/>
    </row>
    <row r="277" spans="1:1" s="7" customFormat="1" x14ac:dyDescent="0.25">
      <c r="A277" s="16"/>
    </row>
    <row r="278" spans="1:1" s="7" customFormat="1" x14ac:dyDescent="0.25">
      <c r="A278" s="16"/>
    </row>
    <row r="279" spans="1:1" s="7" customFormat="1" x14ac:dyDescent="0.25">
      <c r="A279" s="16"/>
    </row>
    <row r="280" spans="1:1" s="7" customFormat="1" x14ac:dyDescent="0.25">
      <c r="A280" s="16"/>
    </row>
    <row r="281" spans="1:1" s="7" customFormat="1" x14ac:dyDescent="0.25">
      <c r="A281" s="16"/>
    </row>
    <row r="282" spans="1:1" s="7" customFormat="1" x14ac:dyDescent="0.25">
      <c r="A282" s="16"/>
    </row>
    <row r="283" spans="1:1" s="7" customFormat="1" x14ac:dyDescent="0.25">
      <c r="A283" s="16"/>
    </row>
    <row r="284" spans="1:1" s="7" customFormat="1" x14ac:dyDescent="0.25">
      <c r="A284" s="16"/>
    </row>
    <row r="285" spans="1:1" s="7" customFormat="1" x14ac:dyDescent="0.25">
      <c r="A285" s="16"/>
    </row>
    <row r="286" spans="1:1" s="7" customFormat="1" x14ac:dyDescent="0.25">
      <c r="A286" s="16"/>
    </row>
    <row r="287" spans="1:1" s="7" customFormat="1" x14ac:dyDescent="0.25">
      <c r="A287" s="16"/>
    </row>
    <row r="288" spans="1:1" s="7" customFormat="1" x14ac:dyDescent="0.25">
      <c r="A288" s="16"/>
    </row>
    <row r="289" spans="1:1" s="7" customFormat="1" x14ac:dyDescent="0.25">
      <c r="A289" s="16"/>
    </row>
    <row r="290" spans="1:1" s="7" customFormat="1" x14ac:dyDescent="0.25">
      <c r="A290" s="16"/>
    </row>
    <row r="291" spans="1:1" s="7" customFormat="1" x14ac:dyDescent="0.25">
      <c r="A291" s="16"/>
    </row>
    <row r="292" spans="1:1" s="7" customFormat="1" x14ac:dyDescent="0.25">
      <c r="A292" s="16"/>
    </row>
    <row r="293" spans="1:1" s="7" customFormat="1" x14ac:dyDescent="0.25">
      <c r="A293" s="16"/>
    </row>
    <row r="294" spans="1:1" s="7" customFormat="1" x14ac:dyDescent="0.25">
      <c r="A294" s="16"/>
    </row>
    <row r="295" spans="1:1" s="7" customFormat="1" x14ac:dyDescent="0.25">
      <c r="A295" s="16"/>
    </row>
    <row r="296" spans="1:1" s="7" customFormat="1" x14ac:dyDescent="0.25">
      <c r="A296" s="16"/>
    </row>
    <row r="297" spans="1:1" s="7" customFormat="1" x14ac:dyDescent="0.25">
      <c r="A297" s="16"/>
    </row>
    <row r="298" spans="1:1" s="7" customFormat="1" x14ac:dyDescent="0.25">
      <c r="A298" s="16"/>
    </row>
    <row r="299" spans="1:1" s="7" customFormat="1" x14ac:dyDescent="0.25">
      <c r="A299" s="16"/>
    </row>
    <row r="300" spans="1:1" s="7" customFormat="1" x14ac:dyDescent="0.25">
      <c r="A300" s="16"/>
    </row>
    <row r="301" spans="1:1" s="7" customFormat="1" x14ac:dyDescent="0.25">
      <c r="A301" s="16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felipe Luz Santos</cp:lastModifiedBy>
  <dcterms:created xsi:type="dcterms:W3CDTF">2024-12-19T13:13:10Z</dcterms:created>
  <dcterms:modified xsi:type="dcterms:W3CDTF">2026-10-08T00:42:30Z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